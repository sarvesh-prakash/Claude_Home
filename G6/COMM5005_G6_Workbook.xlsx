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Indicators" sheetId="3" state="visible" r:id="rId3"/>
    <sheet xmlns:r="http://schemas.openxmlformats.org/officeDocument/2006/relationships" name="Costs" sheetId="4" state="visible" r:id="rId4"/>
    <sheet xmlns:r="http://schemas.openxmlformats.org/officeDocument/2006/relationships" name="Scoring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Suburb_LGA_Map" sheetId="7" state="visible" r:id="rId7"/>
    <sheet xmlns:r="http://schemas.openxmlformats.org/officeDocument/2006/relationships" name="ACECQA_Servi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3" fillId="3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Centres per 1,000 children aged 0-4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'Summary'!$C$1:$E$1</f>
            </numRef>
          </cat>
          <val>
            <numRef>
              <f>'Summary'!$C$5:$E$5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COMM5005 T3 2026 - Group G6 - Childtime Australia location study</t>
        </is>
      </c>
    </row>
    <row r="2">
      <c r="A2" t="inlineStr">
        <is>
          <t>LGAs: Ku-ring-gai, Bayside, North Sydney (verify boundaries on ABS Census map; 2021 LGA geography)</t>
        </is>
      </c>
    </row>
    <row r="3">
      <c r="A3" t="inlineStr">
        <is>
          <t>Yellow cells = inputs to fill from sources (no data has been entered yet). White cells = formulas.</t>
        </is>
      </c>
    </row>
    <row r="4">
      <c r="A4" t="inlineStr">
        <is>
          <t>Sheets: Data (inputs + sources) &gt; Indicators (normalised measures) &gt; Costs (staffing/site) &gt; Scoring (weighted) &gt; Summary (report table + charts)</t>
        </is>
      </c>
    </row>
    <row r="5">
      <c r="A5" t="inlineStr">
        <is>
          <t>Record source, reference year and access date for every input in the Data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  <col width="18" customWidth="1" min="4" max="4"/>
    <col width="18" customWidth="1" min="5" max="5"/>
    <col width="45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Indicator</t>
        </is>
      </c>
      <c r="B1" s="2" t="inlineStr">
        <is>
          <t>Unit</t>
        </is>
      </c>
      <c r="C1" s="2" t="inlineStr">
        <is>
          <t>Ku-ring-gai</t>
        </is>
      </c>
      <c r="D1" s="2" t="inlineStr">
        <is>
          <t>Bayside</t>
        </is>
      </c>
      <c r="E1" s="2" t="inlineStr">
        <is>
          <t>North Sydney</t>
        </is>
      </c>
      <c r="F1" s="2" t="inlineStr">
        <is>
          <t>Source</t>
        </is>
      </c>
      <c r="G1" s="2" t="inlineStr">
        <is>
          <t>Reference year</t>
        </is>
      </c>
      <c r="H1" s="2" t="inlineStr">
        <is>
          <t>Date accessed</t>
        </is>
      </c>
      <c r="I1" s="2" t="inlineStr">
        <is>
          <t>Notes / proxy</t>
        </is>
      </c>
    </row>
    <row r="2">
      <c r="A2" t="inlineStr">
        <is>
          <t>Total population</t>
        </is>
      </c>
      <c r="B2" t="inlineStr">
        <is>
          <t>persons</t>
        </is>
      </c>
      <c r="C2" s="3" t="n"/>
      <c r="D2" s="3" t="n"/>
      <c r="E2" s="3" t="n"/>
      <c r="F2" t="inlineStr">
        <is>
          <t>ABS Census 2021 Community Profile (G01)</t>
        </is>
      </c>
      <c r="G2" t="inlineStr">
        <is>
          <t>2021</t>
        </is>
      </c>
    </row>
    <row r="3">
      <c r="A3" t="inlineStr">
        <is>
          <t>Children aged 0-4</t>
        </is>
      </c>
      <c r="B3" t="inlineStr">
        <is>
          <t>persons</t>
        </is>
      </c>
      <c r="C3" s="3" t="n"/>
      <c r="D3" s="3" t="n"/>
      <c r="E3" s="3" t="n"/>
      <c r="F3" t="inlineStr">
        <is>
          <t>ABS Census 2021 (G04)</t>
        </is>
      </c>
      <c r="G3" t="inlineStr">
        <is>
          <t>2021</t>
        </is>
      </c>
    </row>
    <row r="4">
      <c r="A4" t="inlineStr">
        <is>
          <t>Children aged 0-4 as share check</t>
        </is>
      </c>
      <c r="B4" t="inlineStr">
        <is>
          <t>persons</t>
        </is>
      </c>
      <c r="C4" s="3" t="n"/>
      <c r="D4" s="3" t="n"/>
      <c r="E4" s="3" t="n"/>
      <c r="F4" t="inlineStr">
        <is>
          <t>(formula in Indicators)</t>
        </is>
      </c>
    </row>
    <row r="5">
      <c r="A5" t="inlineStr">
        <is>
          <t>Families with children under 5 / couple families with children</t>
        </is>
      </c>
      <c r="B5" t="inlineStr">
        <is>
          <t>families</t>
        </is>
      </c>
      <c r="C5" s="3" t="n"/>
      <c r="D5" s="3" t="n"/>
      <c r="E5" s="3" t="n"/>
      <c r="F5" t="inlineStr">
        <is>
          <t>ABS Census 2021 (G25/G29)</t>
        </is>
      </c>
      <c r="G5" t="inlineStr">
        <is>
          <t>2021</t>
        </is>
      </c>
    </row>
    <row r="6">
      <c r="A6" t="inlineStr">
        <is>
          <t>Median weekly household income</t>
        </is>
      </c>
      <c r="B6" t="inlineStr">
        <is>
          <t>$/week</t>
        </is>
      </c>
      <c r="C6" s="3" t="n"/>
      <c r="D6" s="3" t="n"/>
      <c r="E6" s="3" t="n"/>
      <c r="F6" t="inlineStr">
        <is>
          <t>ABS Census 2021 (G02)</t>
        </is>
      </c>
      <c r="G6" t="inlineStr">
        <is>
          <t>2021</t>
        </is>
      </c>
    </row>
    <row r="7">
      <c r="A7" t="inlineStr">
        <is>
          <t>Median weekly family income</t>
        </is>
      </c>
      <c r="B7" t="inlineStr">
        <is>
          <t>$/week</t>
        </is>
      </c>
      <c r="C7" s="3" t="n"/>
      <c r="D7" s="3" t="n"/>
      <c r="E7" s="3" t="n"/>
      <c r="F7" t="inlineStr">
        <is>
          <t>ABS Census 2021 (G02)</t>
        </is>
      </c>
      <c r="G7" t="inlineStr">
        <is>
          <t>2021</t>
        </is>
      </c>
    </row>
    <row r="8">
      <c r="A8" t="inlineStr">
        <is>
          <t>Employment rate (labour force employed / aged 15+)</t>
        </is>
      </c>
      <c r="B8" t="inlineStr">
        <is>
          <t>%</t>
        </is>
      </c>
      <c r="C8" s="3" t="n"/>
      <c r="D8" s="3" t="n"/>
      <c r="E8" s="3" t="n"/>
      <c r="F8" t="inlineStr">
        <is>
          <t>ABS Census 2021 (G43)</t>
        </is>
      </c>
      <c r="G8" t="inlineStr">
        <is>
          <t>2021</t>
        </is>
      </c>
    </row>
    <row r="9">
      <c r="A9" t="inlineStr">
        <is>
          <t>Female labour force participation</t>
        </is>
      </c>
      <c r="B9" t="inlineStr">
        <is>
          <t>%</t>
        </is>
      </c>
      <c r="C9" s="3" t="n"/>
      <c r="D9" s="3" t="n"/>
      <c r="E9" s="3" t="n"/>
      <c r="F9" t="inlineStr">
        <is>
          <t>ABS Census 2021 (G43)</t>
        </is>
      </c>
      <c r="G9" t="inlineStr">
        <is>
          <t>2021</t>
        </is>
      </c>
    </row>
    <row r="10">
      <c r="A10" t="inlineStr">
        <is>
          <t>Bachelor degree or above (15+)</t>
        </is>
      </c>
      <c r="B10" t="inlineStr">
        <is>
          <t>%</t>
        </is>
      </c>
      <c r="C10" s="3" t="n"/>
      <c r="D10" s="3" t="n"/>
      <c r="E10" s="3" t="n"/>
      <c r="F10" t="inlineStr">
        <is>
          <t>ABS Census 2021 (G46)</t>
        </is>
      </c>
      <c r="G10" t="inlineStr">
        <is>
          <t>2021</t>
        </is>
      </c>
    </row>
    <row r="11">
      <c r="A11" t="inlineStr">
        <is>
          <t>Approved childcare centres (centre-based day care) in LGA</t>
        </is>
      </c>
      <c r="B11" t="inlineStr">
        <is>
          <t>count</t>
        </is>
      </c>
      <c r="C11">
        <f>COUNTIFS(ACECQA_Services!$K$2:$K$294,"Ku-ring-gai",ACECQA_Services!$G$2:$G$294,"Yes")</f>
        <v/>
      </c>
      <c r="D11">
        <f>COUNTIFS(ACECQA_Services!$K$2:$K$294,"Bayside",ACECQA_Services!$G$2:$G$294,"Yes")</f>
        <v/>
      </c>
      <c r="E11">
        <f>COUNTIFS(ACECQA_Services!$K$2:$K$294,"North Sydney",ACECQA_Services!$G$2:$G$294,"Yes")</f>
        <v/>
      </c>
      <c r="F11" t="inlineStr">
        <is>
          <t>ACECQA National Register (Education services NSW export, provided by Sarvesh); Long Day Care = Yes</t>
        </is>
      </c>
      <c r="G11" t="inlineStr">
        <is>
          <t>2026</t>
        </is>
      </c>
      <c r="H11" t="inlineStr">
        <is>
          <t>2026 (export date - add)</t>
        </is>
      </c>
      <c r="I11" t="inlineStr">
        <is>
          <t>Suburb-to-LGA mapping approximate; split suburbs (e.g. Wahroonga, St Leonards, Crows Nest, Kingsgrove, Sans Souci, Rosebery) overstate/understate</t>
        </is>
      </c>
    </row>
    <row r="12">
      <c r="A12" t="inlineStr">
        <is>
          <t>Approved centre-based places (if available)</t>
        </is>
      </c>
      <c r="B12" t="inlineStr">
        <is>
          <t>places</t>
        </is>
      </c>
      <c r="C12">
        <f>SUMIFS(ACECQA_Services!$E$2:$E$294,ACECQA_Services!$K$2:$K$294,"Ku-ring-gai",ACECQA_Services!$G$2:$G$294,"Yes")</f>
        <v/>
      </c>
      <c r="D12">
        <f>SUMIFS(ACECQA_Services!$E$2:$E$294,ACECQA_Services!$K$2:$K$294,"Bayside",ACECQA_Services!$G$2:$G$294,"Yes")</f>
        <v/>
      </c>
      <c r="E12">
        <f>SUMIFS(ACECQA_Services!$E$2:$E$294,ACECQA_Services!$K$2:$K$294,"North Sydney",ACECQA_Services!$G$2:$G$294,"Yes")</f>
        <v/>
      </c>
      <c r="F12" t="inlineStr">
        <is>
          <t>ACECQA National Register (Education services NSW export, provided by Sarvesh); Long Day Care = Yes</t>
        </is>
      </c>
      <c r="G12" t="inlineStr">
        <is>
          <t>2026</t>
        </is>
      </c>
      <c r="H12" t="inlineStr">
        <is>
          <t>2026 (export date - add)</t>
        </is>
      </c>
      <c r="I12" t="inlineStr">
        <is>
          <t>Suburb-to-LGA mapping approximate; split suburbs (e.g. Wahroonga, St Leonards, Crows Nest, Kingsgrove, Sans Souci, Rosebery) overstate/understate</t>
        </is>
      </c>
    </row>
    <row r="13">
      <c r="A13" t="inlineStr">
        <is>
          <t>Land/lease price proxy: median rent for commercial/childcare site</t>
        </is>
      </c>
      <c r="B13" t="inlineStr">
        <is>
          <t>$/m2/yr</t>
        </is>
      </c>
      <c r="C13" s="3" t="n"/>
      <c r="D13" s="3" t="n"/>
      <c r="E13" s="3" t="n"/>
      <c r="F13" t="inlineStr">
        <is>
          <t>Realcommercial / CoStar / Valuer-General; document proxy</t>
        </is>
      </c>
      <c r="G13" t="inlineStr">
        <is>
          <t>2026</t>
        </is>
      </c>
    </row>
    <row r="14">
      <c r="A14" t="inlineStr">
        <is>
          <t>Land value proxy ($/m2, ~1,500 m2 site)</t>
        </is>
      </c>
      <c r="B14" t="inlineStr">
        <is>
          <t>$/m2</t>
        </is>
      </c>
      <c r="C14" s="3" t="n"/>
      <c r="D14" s="3" t="n"/>
      <c r="E14" s="3" t="n"/>
      <c r="F14" t="inlineStr">
        <is>
          <t>NSW Valuer General land values</t>
        </is>
      </c>
      <c r="G14" t="inlineStr">
        <is>
          <t>2026</t>
        </is>
      </c>
    </row>
    <row r="15">
      <c r="A15" t="inlineStr">
        <is>
          <t>Median weekly rent (residential, cost proxy)</t>
        </is>
      </c>
      <c r="B15" t="inlineStr">
        <is>
          <t>$/week</t>
        </is>
      </c>
      <c r="C15" s="3" t="n"/>
      <c r="D15" s="3" t="n"/>
      <c r="E15" s="3" t="n"/>
      <c r="F15" t="inlineStr">
        <is>
          <t>ABS Census 2021 (G02)</t>
        </is>
      </c>
      <c r="G15" t="inlineStr">
        <is>
          <t>2021</t>
        </is>
      </c>
    </row>
    <row r="16">
      <c r="A16" t="inlineStr">
        <is>
          <t>Peak-hour drive time to LGA centre (accessibility)</t>
        </is>
      </c>
      <c r="B16" t="inlineStr">
        <is>
          <t>minutes</t>
        </is>
      </c>
      <c r="C16" s="3" t="n"/>
      <c r="D16" s="3" t="n"/>
      <c r="E16" s="3" t="n"/>
      <c r="F16" t="inlineStr">
        <is>
          <t>Google Maps / TfNSW</t>
        </is>
      </c>
      <c r="G16" t="inlineStr">
        <is>
          <t>2026</t>
        </is>
      </c>
    </row>
    <row r="17">
      <c r="A17" t="inlineStr">
        <is>
          <t>Public transport access (stations in LGA)</t>
        </is>
      </c>
      <c r="B17" t="inlineStr">
        <is>
          <t>count</t>
        </is>
      </c>
      <c r="C17" s="3" t="n"/>
      <c r="D17" s="3" t="n"/>
      <c r="E17" s="3" t="n"/>
      <c r="F17" t="inlineStr">
        <is>
          <t>TfNSW</t>
        </is>
      </c>
      <c r="G17" t="inlineStr">
        <is>
          <t>2026</t>
        </is>
      </c>
    </row>
    <row r="18">
      <c r="A18" t="inlineStr">
        <is>
          <t>Area of LGA</t>
        </is>
      </c>
      <c r="B18" t="inlineStr">
        <is>
          <t>km2</t>
        </is>
      </c>
      <c r="C18" s="3" t="n"/>
      <c r="D18" s="3" t="n"/>
      <c r="E18" s="3" t="n"/>
      <c r="F18" t="inlineStr">
        <is>
          <t>ABS ASGS</t>
        </is>
      </c>
      <c r="G18" t="inlineStr">
        <is>
          <t>2021</t>
        </is>
      </c>
    </row>
    <row r="19">
      <c r="A19" t="inlineStr">
        <is>
          <t>Wage benchmark adjustment vs base</t>
        </is>
      </c>
      <c r="B19" t="inlineStr">
        <is>
          <t>%</t>
        </is>
      </c>
      <c r="C19" s="3" t="n"/>
      <c r="D19" s="3" t="n"/>
      <c r="E19" s="3" t="n"/>
      <c r="F19" t="inlineStr">
        <is>
          <t>Assumption - justify</t>
        </is>
      </c>
      <c r="G19" t="inlineStr">
        <is>
          <t>2026</t>
        </is>
      </c>
    </row>
    <row r="20"/>
    <row r="21">
      <c r="A21" s="4" t="inlineStr">
        <is>
          <t>Staffing wage assumptions (annual, $)</t>
        </is>
      </c>
    </row>
    <row r="22">
      <c r="A22" t="inlineStr">
        <is>
          <t>Role</t>
        </is>
      </c>
      <c r="B22" t="inlineStr">
        <is>
          <t>Headcount</t>
        </is>
      </c>
      <c r="C22" t="inlineStr">
        <is>
          <t>Annual salary ($) - base</t>
        </is>
      </c>
      <c r="D22" t="inlineStr">
        <is>
          <t>On-cost rate (super/leave etc.)</t>
        </is>
      </c>
    </row>
    <row r="23">
      <c r="A23" t="inlineStr">
        <is>
          <t>Director</t>
        </is>
      </c>
      <c r="B23" t="n">
        <v>1</v>
      </c>
      <c r="C23" s="3" t="n"/>
      <c r="D23" s="3" t="n">
        <v>0.15</v>
      </c>
    </row>
    <row r="24">
      <c r="A24" t="inlineStr">
        <is>
          <t>Child activity coordinator (teacher)</t>
        </is>
      </c>
      <c r="B24" t="n">
        <v>10</v>
      </c>
      <c r="C24" s="3" t="n"/>
      <c r="D24" s="3" t="n">
        <v>0.15</v>
      </c>
    </row>
    <row r="25">
      <c r="A25" t="inlineStr">
        <is>
          <t>Chef</t>
        </is>
      </c>
      <c r="B25" t="n">
        <v>1</v>
      </c>
      <c r="C25" s="3" t="n"/>
      <c r="D25" s="3" t="n">
        <v>0.15</v>
      </c>
    </row>
    <row r="26">
      <c r="A26" t="inlineStr">
        <is>
          <t>Cleaner</t>
        </is>
      </c>
      <c r="B26" t="n">
        <v>1</v>
      </c>
      <c r="C26" s="3" t="n"/>
      <c r="D26" s="3" t="n">
        <v>0.15</v>
      </c>
    </row>
    <row r="27">
      <c r="A27" t="inlineStr">
        <is>
          <t>Facilities maintenance</t>
        </is>
      </c>
      <c r="B27" t="n">
        <v>1</v>
      </c>
      <c r="C27" s="3" t="n"/>
      <c r="D27" s="3" t="n">
        <v>0.15</v>
      </c>
    </row>
    <row r="29">
      <c r="A29" s="4" t="inlineStr">
        <is>
          <t>Long Day Care centres rated Meeting/Exceeding NQS (share)</t>
        </is>
      </c>
      <c r="C29">
        <f>(COUNTIFS(ACECQA_Services!$K$2:$K$294,"Ku-ring-gai",ACECQA_Services!$G$2:$G$294,"Yes",ACECQA_Services!$F$2:$F$294,"Meeting NQS")+COUNTIFS(ACECQA_Services!$K$2:$K$294,"Ku-ring-gai",ACECQA_Services!$G$2:$G$294,"Yes",ACECQA_Services!$F$2:$F$294,"Exceeding NQS"))/C11</f>
        <v/>
      </c>
      <c r="D29">
        <f>(COUNTIFS(ACECQA_Services!$K$2:$K$294,"Bayside",ACECQA_Services!$G$2:$G$294,"Yes",ACECQA_Services!$F$2:$F$294,"Meeting NQS")+COUNTIFS(ACECQA_Services!$K$2:$K$294,"Bayside",ACECQA_Services!$G$2:$G$294,"Yes",ACECQA_Services!$F$2:$F$294,"Exceeding NQS"))/D11</f>
        <v/>
      </c>
      <c r="E29">
        <f>(COUNTIFS(ACECQA_Services!$K$2:$K$294,"North Sydney",ACECQA_Services!$G$2:$G$294,"Yes",ACECQA_Services!$F$2:$F$294,"Meeting NQS")+COUNTIFS(ACECQA_Services!$K$2:$K$294,"North Sydney",ACECQA_Services!$G$2:$G$294,"Yes",ACECQA_Services!$F$2:$F$294,"Exceeding NQS"))/E11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48" customWidth="1" min="1" max="1"/>
    <col width="70" customWidth="1" min="2" max="2"/>
  </cols>
  <sheetData>
    <row r="1">
      <c r="A1" s="2" t="inlineStr">
        <is>
          <t>Normalised indicator</t>
        </is>
      </c>
      <c r="B1" s="2" t="inlineStr">
        <is>
          <t>Definition / denominator rationale</t>
        </is>
      </c>
      <c r="C1" s="2" t="inlineStr">
        <is>
          <t>Ku-ring-gai</t>
        </is>
      </c>
      <c r="D1" s="2" t="inlineStr">
        <is>
          <t>Bayside</t>
        </is>
      </c>
      <c r="E1" s="2" t="inlineStr">
        <is>
          <t>North Sydney</t>
        </is>
      </c>
    </row>
    <row r="2">
      <c r="A2" t="inlineStr">
        <is>
          <t>Children 0-4 per 100 residents</t>
        </is>
      </c>
      <c r="B2" t="inlineStr">
        <is>
          <t>Age-structure intensity; removes population size effect</t>
        </is>
      </c>
      <c r="C2">
        <f>Data!C3/Data!C2*100</f>
        <v/>
      </c>
      <c r="D2">
        <f>Data!D3/Data!D2*100</f>
        <v/>
      </c>
      <c r="E2">
        <f>Data!E3/Data!E2*100</f>
        <v/>
      </c>
    </row>
    <row r="3">
      <c r="A3" t="inlineStr">
        <is>
          <t>Children 0-4 per km2</t>
        </is>
      </c>
      <c r="B3" t="inlineStr">
        <is>
          <t>Catchment density (driving catchment)</t>
        </is>
      </c>
      <c r="C3">
        <f>Data!C3/Data!C18</f>
        <v/>
      </c>
      <c r="D3">
        <f>Data!D3/Data!D18</f>
        <v/>
      </c>
      <c r="E3">
        <f>Data!E3/Data!E18</f>
        <v/>
      </c>
    </row>
    <row r="4">
      <c r="A4" t="inlineStr">
        <is>
          <t>Centres per 1,000 children 0-4</t>
        </is>
      </c>
      <c r="B4" t="inlineStr">
        <is>
          <t>Supply proxy (not places/occupancy) - lower = less competition</t>
        </is>
      </c>
      <c r="C4">
        <f>Data!C11/Data!C3*1000</f>
        <v/>
      </c>
      <c r="D4">
        <f>Data!D11/Data!D3*1000</f>
        <v/>
      </c>
      <c r="E4">
        <f>Data!E11/Data!E3*1000</f>
        <v/>
      </c>
    </row>
    <row r="5">
      <c r="A5" t="inlineStr">
        <is>
          <t>Children 0-4 per centre</t>
        </is>
      </c>
      <c r="B5" t="inlineStr">
        <is>
          <t>Potential demand per competitor</t>
        </is>
      </c>
      <c r="C5">
        <f>Data!C3/Data!C11</f>
        <v/>
      </c>
      <c r="D5">
        <f>Data!D3/Data!D11</f>
        <v/>
      </c>
      <c r="E5">
        <f>Data!E3/Data!E11</f>
        <v/>
      </c>
    </row>
    <row r="6">
      <c r="A6" t="inlineStr">
        <is>
          <t>Places per child 0-4</t>
        </is>
      </c>
      <c r="B6" t="inlineStr">
        <is>
          <t>Supply coverage if places data available</t>
        </is>
      </c>
      <c r="C6">
        <f>IFERROR(Data!C12/Data!C3,"n/a")</f>
        <v/>
      </c>
      <c r="D6">
        <f>IFERROR(Data!D12/Data!D3,"n/a")</f>
        <v/>
      </c>
      <c r="E6">
        <f>IFERROR(Data!E12/Data!E3,"n/a")</f>
        <v/>
      </c>
    </row>
    <row r="7">
      <c r="A7" t="inlineStr">
        <is>
          <t>Income / affordability index (HH income, Ku-ring-gai=100)</t>
        </is>
      </c>
      <c r="B7" t="inlineStr">
        <is>
          <t>Ability to pay; indicator only, not demand</t>
        </is>
      </c>
      <c r="C7">
        <f>Data!C6/Data!$C$6*100</f>
        <v/>
      </c>
      <c r="D7">
        <f>Data!D6/Data!$C$6*100</f>
        <v/>
      </c>
      <c r="E7">
        <f>Data!E6/Data!$C$6*100</f>
        <v/>
      </c>
    </row>
    <row r="8">
      <c r="A8" t="inlineStr">
        <is>
          <t>Land value index (Ku-ring-gai=100)</t>
        </is>
      </c>
      <c r="B8" t="inlineStr">
        <is>
          <t>Relative site cost proxy</t>
        </is>
      </c>
      <c r="C8">
        <f>IFERROR(Data!C14/Data!$C$14*100,"")</f>
        <v/>
      </c>
      <c r="D8">
        <f>IFERROR(Data!D14/Data!$C$14*100,"")</f>
        <v/>
      </c>
      <c r="E8">
        <f>IFERROR(Data!E14/Data!$C$14*100,"")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2" t="inlineStr">
        <is>
          <t>Annual staffing cost</t>
        </is>
      </c>
      <c r="B1" s="2" t="inlineStr">
        <is>
          <t>Formula</t>
        </is>
      </c>
      <c r="C1" s="2" t="inlineStr">
        <is>
          <t>Ku-ring-gai</t>
        </is>
      </c>
      <c r="D1" s="2" t="inlineStr">
        <is>
          <t>Bayside</t>
        </is>
      </c>
      <c r="E1" s="2" t="inlineStr">
        <is>
          <t>North Sydney</t>
        </is>
      </c>
    </row>
    <row r="2">
      <c r="A2" t="inlineStr">
        <is>
          <t>Base staffing cost ($/yr)</t>
        </is>
      </c>
      <c r="B2" t="inlineStr">
        <is>
          <t>SUMPRODUCT(headcount x salary x (1+on-cost))</t>
        </is>
      </c>
      <c r="C2">
        <f>SUMPRODUCT(Data!$B$23:$B$27,Data!$C$23:$C$27*(1+Data!$D$23:$D$27))</f>
        <v/>
      </c>
      <c r="D2">
        <f>SUMPRODUCT(Data!$B$23:$B$27,Data!$C$23:$C$27*(1+Data!$D$23:$D$27))</f>
        <v/>
      </c>
      <c r="E2">
        <f>SUMPRODUCT(Data!$B$23:$B$27,Data!$C$23:$C$27*(1+Data!$D$23:$D$27))</f>
        <v/>
      </c>
    </row>
    <row r="3">
      <c r="A3" t="inlineStr">
        <is>
          <t>Location wage adjustment</t>
        </is>
      </c>
      <c r="B3" t="inlineStr">
        <is>
          <t>from Data row 19</t>
        </is>
      </c>
      <c r="C3">
        <f>Data!C19</f>
        <v/>
      </c>
      <c r="D3">
        <f>Data!D19</f>
        <v/>
      </c>
      <c r="E3">
        <f>Data!E19</f>
        <v/>
      </c>
    </row>
    <row r="4">
      <c r="A4" t="inlineStr">
        <is>
          <t>Adjusted staffing cost ($/yr)</t>
        </is>
      </c>
      <c r="B4" t="inlineStr">
        <is>
          <t>base x (1+adj)</t>
        </is>
      </c>
      <c r="C4">
        <f>C2*(1+C3)</f>
        <v/>
      </c>
      <c r="D4">
        <f>D2*(1+D3)</f>
        <v/>
      </c>
      <c r="E4">
        <f>E2*(1+E3)</f>
        <v/>
      </c>
    </row>
    <row r="5">
      <c r="A5" t="inlineStr">
        <is>
          <t>Site area required (m2)</t>
        </is>
      </c>
      <c r="B5" t="inlineStr">
        <is>
          <t>Rooms 300+kitchen 50+office 40+storage 30+playgrounds 600+car park 400 = 1,420; min site 1,500</t>
        </is>
      </c>
      <c r="C5" t="n">
        <v>1500</v>
      </c>
      <c r="D5" t="n">
        <v>1500</v>
      </c>
      <c r="E5" t="n">
        <v>1500</v>
      </c>
    </row>
    <row r="6">
      <c r="A6" t="inlineStr">
        <is>
          <t>Site cost proxy ($)</t>
        </is>
      </c>
      <c r="B6" t="inlineStr">
        <is>
          <t>land $/m2 x 1,500</t>
        </is>
      </c>
      <c r="C6">
        <f>Data!C14*C5</f>
        <v/>
      </c>
      <c r="D6">
        <f>Data!D14*D5</f>
        <v/>
      </c>
      <c r="E6">
        <f>Data!E14*E5</f>
        <v/>
      </c>
    </row>
    <row r="7">
      <c r="A7" t="inlineStr">
        <is>
          <t>Annual cost per child 0-4 in LGA ($)</t>
        </is>
      </c>
      <c r="B7" t="inlineStr">
        <is>
          <t>adjusted staffing / children 0-4 (scale indicator)</t>
        </is>
      </c>
      <c r="C7">
        <f>C4/Data!C3</f>
        <v/>
      </c>
      <c r="D7">
        <f>D4/Data!D3</f>
        <v/>
      </c>
      <c r="E7">
        <f>E4/Data!E3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3" max="3"/>
  </cols>
  <sheetData>
    <row r="1">
      <c r="A1" s="2" t="inlineStr">
        <is>
          <t>Criterion</t>
        </is>
      </c>
      <c r="B1" s="2" t="inlineStr">
        <is>
          <t>Weight (assumption)</t>
        </is>
      </c>
      <c r="C1" s="2" t="inlineStr">
        <is>
          <t>Direction (+1 higher better, -1 lower better)</t>
        </is>
      </c>
      <c r="D1" s="2" t="inlineStr">
        <is>
          <t>Ku-ring-gai</t>
        </is>
      </c>
      <c r="E1" s="2" t="inlineStr">
        <is>
          <t>Bayside</t>
        </is>
      </c>
      <c r="F1" s="2" t="inlineStr">
        <is>
          <t>North Sydney</t>
        </is>
      </c>
    </row>
    <row r="2">
      <c r="A2" t="inlineStr">
        <is>
          <t>Children 0-4 per km2 (density)</t>
        </is>
      </c>
      <c r="B2" t="n">
        <v>0.2</v>
      </c>
      <c r="C2" t="n">
        <v>1</v>
      </c>
      <c r="D2">
        <f>IFERROR(IF($C2=1,(Indicators!C3-MIN(Indicators!C3:E3))/(MAX(Indicators!C3:E3)-MIN(Indicators!C3:E3)),(MAX(Indicators!C3:E3)-Indicators!C3)/(MAX(Indicators!C3:E3)-MIN(Indicators!C3:E3))),"")</f>
        <v/>
      </c>
      <c r="E2">
        <f>IFERROR(IF($C2=1,(Indicators!D3-MIN(Indicators!C3:E3))/(MAX(Indicators!C3:E3)-MIN(Indicators!C3:E3)),(MAX(Indicators!C3:E3)-Indicators!D3)/(MAX(Indicators!C3:E3)-MIN(Indicators!C3:E3))),"")</f>
        <v/>
      </c>
      <c r="F2">
        <f>IFERROR(IF($C2=1,(Indicators!E3-MIN(Indicators!C3:E3))/(MAX(Indicators!C3:E3)-MIN(Indicators!C3:E3)),(MAX(Indicators!C3:E3)-Indicators!E3)/(MAX(Indicators!C3:E3)-MIN(Indicators!C3:E3))),"")</f>
        <v/>
      </c>
    </row>
    <row r="3">
      <c r="A3" t="inlineStr">
        <is>
          <t>Children per centre (low competition)</t>
        </is>
      </c>
      <c r="B3" t="n">
        <v>0.2</v>
      </c>
      <c r="C3" t="n">
        <v>1</v>
      </c>
      <c r="D3">
        <f>IFERROR(IF($C3=1,(Indicators!C5-MIN(Indicators!C5:E5))/(MAX(Indicators!C5:E5)-MIN(Indicators!C5:E5)),(MAX(Indicators!C5:E5)-Indicators!C5)/(MAX(Indicators!C5:E5)-MIN(Indicators!C5:E5))),"")</f>
        <v/>
      </c>
      <c r="E3">
        <f>IFERROR(IF($C3=1,(Indicators!D5-MIN(Indicators!C5:E5))/(MAX(Indicators!C5:E5)-MIN(Indicators!C5:E5)),(MAX(Indicators!C5:E5)-Indicators!D5)/(MAX(Indicators!C5:E5)-MIN(Indicators!C5:E5))),"")</f>
        <v/>
      </c>
      <c r="F3">
        <f>IFERROR(IF($C3=1,(Indicators!E5-MIN(Indicators!C5:E5))/(MAX(Indicators!C5:E5)-MIN(Indicators!C5:E5)),(MAX(Indicators!C5:E5)-Indicators!E5)/(MAX(Indicators!C5:E5)-MIN(Indicators!C5:E5))),"")</f>
        <v/>
      </c>
    </row>
    <row r="4">
      <c r="A4" t="inlineStr">
        <is>
          <t>Household income</t>
        </is>
      </c>
      <c r="B4" t="n">
        <v>0.15</v>
      </c>
      <c r="C4" t="n">
        <v>1</v>
      </c>
      <c r="D4">
        <f>IFERROR(IF($C4=1,(Data!C6-MIN(Data!C6:E6))/(MAX(Data!C6:E6)-MIN(Data!C6:E6)),(MAX(Data!C6:E6)-Data!C6)/(MAX(Data!C6:E6)-MIN(Data!C6:E6))),"")</f>
        <v/>
      </c>
      <c r="E4">
        <f>IFERROR(IF($C4=1,(Data!D6-MIN(Data!C6:E6))/(MAX(Data!C6:E6)-MIN(Data!C6:E6)),(MAX(Data!C6:E6)-Data!D6)/(MAX(Data!C6:E6)-MIN(Data!C6:E6))),"")</f>
        <v/>
      </c>
      <c r="F4">
        <f>IFERROR(IF($C4=1,(Data!E6-MIN(Data!C6:E6))/(MAX(Data!C6:E6)-MIN(Data!C6:E6)),(MAX(Data!C6:E6)-Data!E6)/(MAX(Data!C6:E6)-MIN(Data!C6:E6))),"")</f>
        <v/>
      </c>
    </row>
    <row r="5">
      <c r="A5" t="inlineStr">
        <is>
          <t>Land value proxy</t>
        </is>
      </c>
      <c r="B5" t="n">
        <v>0.2</v>
      </c>
      <c r="C5" t="n">
        <v>-1</v>
      </c>
      <c r="D5">
        <f>IFERROR(IF($C5=1,(Data!C14-MIN(Data!C14:E14))/(MAX(Data!C14:E14)-MIN(Data!C14:E14)),(MAX(Data!C14:E14)-Data!C14)/(MAX(Data!C14:E14)-MIN(Data!C14:E14))),"")</f>
        <v/>
      </c>
      <c r="E5">
        <f>IFERROR(IF($C5=1,(Data!D14-MIN(Data!C14:E14))/(MAX(Data!C14:E14)-MIN(Data!C14:E14)),(MAX(Data!C14:E14)-Data!D14)/(MAX(Data!C14:E14)-MIN(Data!C14:E14))),"")</f>
        <v/>
      </c>
      <c r="F5">
        <f>IFERROR(IF($C5=1,(Data!E14-MIN(Data!C14:E14))/(MAX(Data!C14:E14)-MIN(Data!C14:E14)),(MAX(Data!C14:E14)-Data!E14)/(MAX(Data!C14:E14)-MIN(Data!C14:E14))),"")</f>
        <v/>
      </c>
    </row>
    <row r="6">
      <c r="A6" t="inlineStr">
        <is>
          <t>Peak-hour accessibility (minutes)</t>
        </is>
      </c>
      <c r="B6" t="n">
        <v>0.15</v>
      </c>
      <c r="C6" t="n">
        <v>-1</v>
      </c>
      <c r="D6">
        <f>IFERROR(IF($C6=1,(Data!C16-MIN(Data!C16:E16))/(MAX(Data!C16:E16)-MIN(Data!C16:E16)),(MAX(Data!C16:E16)-Data!C16)/(MAX(Data!C16:E16)-MIN(Data!C16:E16))),"")</f>
        <v/>
      </c>
      <c r="E6">
        <f>IFERROR(IF($C6=1,(Data!D16-MIN(Data!C16:E16))/(MAX(Data!C16:E16)-MIN(Data!C16:E16)),(MAX(Data!C16:E16)-Data!D16)/(MAX(Data!C16:E16)-MIN(Data!C16:E16))),"")</f>
        <v/>
      </c>
      <c r="F6">
        <f>IFERROR(IF($C6=1,(Data!E16-MIN(Data!C16:E16))/(MAX(Data!C16:E16)-MIN(Data!C16:E16)),(MAX(Data!C16:E16)-Data!E16)/(MAX(Data!C16:E16)-MIN(Data!C16:E16))),"")</f>
        <v/>
      </c>
    </row>
    <row r="7">
      <c r="A7" t="inlineStr">
        <is>
          <t>Children 0-4 (market size)</t>
        </is>
      </c>
      <c r="B7" t="n">
        <v>0.1</v>
      </c>
      <c r="C7" t="n">
        <v>1</v>
      </c>
      <c r="D7">
        <f>IFERROR(IF($C7=1,(Data!C3-MIN(Data!C3:E3))/(MAX(Data!C3:E3)-MIN(Data!C3:E3)),(MAX(Data!C3:E3)-Data!C3)/(MAX(Data!C3:E3)-MIN(Data!C3:E3))),"")</f>
        <v/>
      </c>
      <c r="E7">
        <f>IFERROR(IF($C7=1,(Data!D3-MIN(Data!C3:E3))/(MAX(Data!C3:E3)-MIN(Data!C3:E3)),(MAX(Data!C3:E3)-Data!D3)/(MAX(Data!C3:E3)-MIN(Data!C3:E3))),"")</f>
        <v/>
      </c>
      <c r="F7">
        <f>IFERROR(IF($C7=1,(Data!E3-MIN(Data!C3:E3))/(MAX(Data!C3:E3)-MIN(Data!C3:E3)),(MAX(Data!C3:E3)-Data!E3)/(MAX(Data!C3:E3)-MIN(Data!C3:E3))),"")</f>
        <v/>
      </c>
    </row>
    <row r="8">
      <c r="A8" t="inlineStr">
        <is>
          <t>Weighted score (0-1)</t>
        </is>
      </c>
      <c r="B8">
        <f>SUM(B2:B7)</f>
        <v/>
      </c>
      <c r="D8">
        <f>SUMPRODUCT($B$2:$B$7,D2:D7)</f>
        <v/>
      </c>
      <c r="E8">
        <f>SUMPRODUCT($B$2:$B$7,E2:E7)</f>
        <v/>
      </c>
      <c r="F8">
        <f>SUMPRODUCT($B$2:$B$7,F2:F7)</f>
        <v/>
      </c>
    </row>
    <row r="9">
      <c r="A9" t="inlineStr">
        <is>
          <t>Rank</t>
        </is>
      </c>
      <c r="D9">
        <f>RANK(D8,$D$8:$F$8)</f>
        <v/>
      </c>
      <c r="E9">
        <f>RANK(E8,$D$8:$F$8)</f>
        <v/>
      </c>
      <c r="F9">
        <f>RANK(F8,$D$8:$F$8)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>
      <c r="A1" s="2" t="inlineStr">
        <is>
          <t>Indicator</t>
        </is>
      </c>
      <c r="B1" s="2" t="inlineStr">
        <is>
          <t>Unit</t>
        </is>
      </c>
      <c r="C1" s="2" t="inlineStr">
        <is>
          <t>Ku-ring-gai</t>
        </is>
      </c>
      <c r="D1" s="2" t="inlineStr">
        <is>
          <t>Bayside</t>
        </is>
      </c>
      <c r="E1" s="2" t="inlineStr">
        <is>
          <t>North Sydney</t>
        </is>
      </c>
    </row>
    <row r="2">
      <c r="A2" t="inlineStr">
        <is>
          <t>Population</t>
        </is>
      </c>
      <c r="B2" t="inlineStr">
        <is>
          <t>persons</t>
        </is>
      </c>
      <c r="C2">
        <f>Data!C2</f>
        <v/>
      </c>
      <c r="D2">
        <f>Data!D2</f>
        <v/>
      </c>
      <c r="E2">
        <f>Data!E2</f>
        <v/>
      </c>
    </row>
    <row r="3">
      <c r="A3" t="inlineStr">
        <is>
          <t>Children 0-4</t>
        </is>
      </c>
      <c r="B3" t="inlineStr">
        <is>
          <t>persons</t>
        </is>
      </c>
      <c r="C3">
        <f>Data!C3</f>
        <v/>
      </c>
      <c r="D3">
        <f>Data!D3</f>
        <v/>
      </c>
      <c r="E3">
        <f>Data!E3</f>
        <v/>
      </c>
    </row>
    <row r="4">
      <c r="A4" t="inlineStr">
        <is>
          <t>Median HH income</t>
        </is>
      </c>
      <c r="B4" t="inlineStr">
        <is>
          <t>$/wk</t>
        </is>
      </c>
      <c r="C4">
        <f>Data!C6</f>
        <v/>
      </c>
      <c r="D4">
        <f>Data!D6</f>
        <v/>
      </c>
      <c r="E4">
        <f>Data!E6</f>
        <v/>
      </c>
    </row>
    <row r="5">
      <c r="A5" t="inlineStr">
        <is>
          <t>Centres per 1,000 children</t>
        </is>
      </c>
      <c r="B5" t="inlineStr">
        <is>
          <t>ratio</t>
        </is>
      </c>
      <c r="C5">
        <f>Indicators!C4</f>
        <v/>
      </c>
      <c r="D5">
        <f>Indicators!D4</f>
        <v/>
      </c>
      <c r="E5">
        <f>Indicators!E4</f>
        <v/>
      </c>
    </row>
    <row r="6">
      <c r="A6" t="inlineStr">
        <is>
          <t>Children per km2</t>
        </is>
      </c>
      <c r="B6" t="inlineStr">
        <is>
          <t>ratio</t>
        </is>
      </c>
      <c r="C6">
        <f>Indicators!C3</f>
        <v/>
      </c>
      <c r="D6">
        <f>Indicators!D3</f>
        <v/>
      </c>
      <c r="E6">
        <f>Indicators!E3</f>
        <v/>
      </c>
    </row>
    <row r="7">
      <c r="A7" t="inlineStr">
        <is>
          <t>Land value ($/m2)</t>
        </is>
      </c>
      <c r="B7" t="inlineStr">
        <is>
          <t>$/m2</t>
        </is>
      </c>
      <c r="C7">
        <f>Data!C14</f>
        <v/>
      </c>
      <c r="D7">
        <f>Data!D14</f>
        <v/>
      </c>
      <c r="E7">
        <f>Data!E14</f>
        <v/>
      </c>
    </row>
    <row r="8">
      <c r="A8" t="inlineStr">
        <is>
          <t>Adj. staffing cost</t>
        </is>
      </c>
      <c r="B8" t="inlineStr">
        <is>
          <t>$/yr</t>
        </is>
      </c>
      <c r="C8">
        <f>Costs!C4</f>
        <v/>
      </c>
      <c r="D8">
        <f>Costs!D4</f>
        <v/>
      </c>
      <c r="E8">
        <f>Costs!E4</f>
        <v/>
      </c>
    </row>
    <row r="9">
      <c r="A9" t="inlineStr">
        <is>
          <t>Weighted score</t>
        </is>
      </c>
      <c r="B9" t="inlineStr">
        <is>
          <t>0-1</t>
        </is>
      </c>
      <c r="C9">
        <f>Scoring!D8</f>
        <v/>
      </c>
      <c r="D9">
        <f>Scoring!E8</f>
        <v/>
      </c>
      <c r="E9">
        <f>Scoring!F8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Suburb</t>
        </is>
      </c>
      <c r="B1" t="inlineStr">
        <is>
          <t>LGA (approximate - VERIFY vs ABS/NSW Geographical Names; split suburbs flagged in README)</t>
        </is>
      </c>
    </row>
    <row r="2">
      <c r="A2" t="inlineStr">
        <is>
          <t>GORDON</t>
        </is>
      </c>
      <c r="B2" t="inlineStr">
        <is>
          <t>Ku-ring-gai</t>
        </is>
      </c>
    </row>
    <row r="3">
      <c r="A3" t="inlineStr">
        <is>
          <t>KILLARA</t>
        </is>
      </c>
      <c r="B3" t="inlineStr">
        <is>
          <t>Ku-ring-gai</t>
        </is>
      </c>
    </row>
    <row r="4">
      <c r="A4" t="inlineStr">
        <is>
          <t>LINDFIELD</t>
        </is>
      </c>
      <c r="B4" t="inlineStr">
        <is>
          <t>Ku-ring-gai</t>
        </is>
      </c>
    </row>
    <row r="5">
      <c r="A5" t="inlineStr">
        <is>
          <t>EAST LINDFIELD</t>
        </is>
      </c>
      <c r="B5" t="inlineStr">
        <is>
          <t>Ku-ring-gai</t>
        </is>
      </c>
    </row>
    <row r="6">
      <c r="A6" t="inlineStr">
        <is>
          <t>PYMBLE</t>
        </is>
      </c>
      <c r="B6" t="inlineStr">
        <is>
          <t>Ku-ring-gai</t>
        </is>
      </c>
    </row>
    <row r="7">
      <c r="A7" t="inlineStr">
        <is>
          <t>TURRAMURRA</t>
        </is>
      </c>
      <c r="B7" t="inlineStr">
        <is>
          <t>Ku-ring-gai</t>
        </is>
      </c>
    </row>
    <row r="8">
      <c r="A8" t="inlineStr">
        <is>
          <t>WAHROONGA</t>
        </is>
      </c>
      <c r="B8" t="inlineStr">
        <is>
          <t>Ku-ring-gai</t>
        </is>
      </c>
    </row>
    <row r="9">
      <c r="A9" t="inlineStr">
        <is>
          <t>WARRAWEE</t>
        </is>
      </c>
      <c r="B9" t="inlineStr">
        <is>
          <t>Ku-ring-gai</t>
        </is>
      </c>
    </row>
    <row r="10">
      <c r="A10" t="inlineStr">
        <is>
          <t>ST IVES</t>
        </is>
      </c>
      <c r="B10" t="inlineStr">
        <is>
          <t>Ku-ring-gai</t>
        </is>
      </c>
    </row>
    <row r="11">
      <c r="A11" t="inlineStr">
        <is>
          <t>ST IVES CHASE</t>
        </is>
      </c>
      <c r="B11" t="inlineStr">
        <is>
          <t>Ku-ring-gai</t>
        </is>
      </c>
    </row>
    <row r="12">
      <c r="A12" t="inlineStr">
        <is>
          <t>ROSEVILLE</t>
        </is>
      </c>
      <c r="B12" t="inlineStr">
        <is>
          <t>Ku-ring-gai</t>
        </is>
      </c>
    </row>
    <row r="13">
      <c r="A13" t="inlineStr">
        <is>
          <t>ROSEVILLE CHASE</t>
        </is>
      </c>
      <c r="B13" t="inlineStr">
        <is>
          <t>Ku-ring-gai</t>
        </is>
      </c>
    </row>
    <row r="14">
      <c r="A14" t="inlineStr">
        <is>
          <t>EAST KILLARA</t>
        </is>
      </c>
      <c r="B14" t="inlineStr">
        <is>
          <t>Ku-ring-gai</t>
        </is>
      </c>
    </row>
    <row r="15">
      <c r="A15" t="inlineStr">
        <is>
          <t>NORTH TURRAMURRA</t>
        </is>
      </c>
      <c r="B15" t="inlineStr">
        <is>
          <t>Ku-ring-gai</t>
        </is>
      </c>
    </row>
    <row r="16">
      <c r="A16" t="inlineStr">
        <is>
          <t>SOUTH TURRAMURRA</t>
        </is>
      </c>
      <c r="B16" t="inlineStr">
        <is>
          <t>Ku-ring-gai</t>
        </is>
      </c>
    </row>
    <row r="17">
      <c r="A17" t="inlineStr">
        <is>
          <t>WEST PYMBLE</t>
        </is>
      </c>
      <c r="B17" t="inlineStr">
        <is>
          <t>Ku-ring-gai</t>
        </is>
      </c>
    </row>
    <row r="18">
      <c r="A18" t="inlineStr">
        <is>
          <t>ARNCLIFFE</t>
        </is>
      </c>
      <c r="B18" t="inlineStr">
        <is>
          <t>Bayside</t>
        </is>
      </c>
    </row>
    <row r="19">
      <c r="A19" t="inlineStr">
        <is>
          <t>BANKSIA</t>
        </is>
      </c>
      <c r="B19" t="inlineStr">
        <is>
          <t>Bayside</t>
        </is>
      </c>
    </row>
    <row r="20">
      <c r="A20" t="inlineStr">
        <is>
          <t>BARDWELL PARK</t>
        </is>
      </c>
      <c r="B20" t="inlineStr">
        <is>
          <t>Bayside</t>
        </is>
      </c>
    </row>
    <row r="21">
      <c r="A21" t="inlineStr">
        <is>
          <t>BARDWELL VALLEY</t>
        </is>
      </c>
      <c r="B21" t="inlineStr">
        <is>
          <t>Bayside</t>
        </is>
      </c>
    </row>
    <row r="22">
      <c r="A22" t="inlineStr">
        <is>
          <t>BEXLEY</t>
        </is>
      </c>
      <c r="B22" t="inlineStr">
        <is>
          <t>Bayside</t>
        </is>
      </c>
    </row>
    <row r="23">
      <c r="A23" t="inlineStr">
        <is>
          <t>BEXLEY NORTH</t>
        </is>
      </c>
      <c r="B23" t="inlineStr">
        <is>
          <t>Bayside</t>
        </is>
      </c>
    </row>
    <row r="24">
      <c r="A24" t="inlineStr">
        <is>
          <t>BOTANY</t>
        </is>
      </c>
      <c r="B24" t="inlineStr">
        <is>
          <t>Bayside</t>
        </is>
      </c>
    </row>
    <row r="25">
      <c r="A25" t="inlineStr">
        <is>
          <t>BRIGHTON-LE-SANDS</t>
        </is>
      </c>
      <c r="B25" t="inlineStr">
        <is>
          <t>Bayside</t>
        </is>
      </c>
    </row>
    <row r="26">
      <c r="A26" t="inlineStr">
        <is>
          <t>DACEYVILLE</t>
        </is>
      </c>
      <c r="B26" t="inlineStr">
        <is>
          <t>Bayside</t>
        </is>
      </c>
    </row>
    <row r="27">
      <c r="A27" t="inlineStr">
        <is>
          <t>DOLLS POINT</t>
        </is>
      </c>
      <c r="B27" t="inlineStr">
        <is>
          <t>Bayside</t>
        </is>
      </c>
    </row>
    <row r="28">
      <c r="A28" t="inlineStr">
        <is>
          <t>EASTGARDENS</t>
        </is>
      </c>
      <c r="B28" t="inlineStr">
        <is>
          <t>Bayside</t>
        </is>
      </c>
    </row>
    <row r="29">
      <c r="A29" t="inlineStr">
        <is>
          <t>EASTLAKES</t>
        </is>
      </c>
      <c r="B29" t="inlineStr">
        <is>
          <t>Bayside</t>
        </is>
      </c>
    </row>
    <row r="30">
      <c r="A30" t="inlineStr">
        <is>
          <t>HILLSDALE</t>
        </is>
      </c>
      <c r="B30" t="inlineStr">
        <is>
          <t>Bayside</t>
        </is>
      </c>
    </row>
    <row r="31">
      <c r="A31" t="inlineStr">
        <is>
          <t>KINGSGROVE</t>
        </is>
      </c>
      <c r="B31" t="inlineStr">
        <is>
          <t>Bayside</t>
        </is>
      </c>
    </row>
    <row r="32">
      <c r="A32" t="inlineStr">
        <is>
          <t>KYEEMAGH</t>
        </is>
      </c>
      <c r="B32" t="inlineStr">
        <is>
          <t>Bayside</t>
        </is>
      </c>
    </row>
    <row r="33">
      <c r="A33" t="inlineStr">
        <is>
          <t>MASCOT</t>
        </is>
      </c>
      <c r="B33" t="inlineStr">
        <is>
          <t>Bayside</t>
        </is>
      </c>
    </row>
    <row r="34">
      <c r="A34" t="inlineStr">
        <is>
          <t>MONTEREY</t>
        </is>
      </c>
      <c r="B34" t="inlineStr">
        <is>
          <t>Bayside</t>
        </is>
      </c>
    </row>
    <row r="35">
      <c r="A35" t="inlineStr">
        <is>
          <t>PAGEWOOD</t>
        </is>
      </c>
      <c r="B35" t="inlineStr">
        <is>
          <t>Bayside</t>
        </is>
      </c>
    </row>
    <row r="36">
      <c r="A36" t="inlineStr">
        <is>
          <t>RAMSGATE</t>
        </is>
      </c>
      <c r="B36" t="inlineStr">
        <is>
          <t>Bayside</t>
        </is>
      </c>
    </row>
    <row r="37">
      <c r="A37" t="inlineStr">
        <is>
          <t>RAMSGATE BEACH</t>
        </is>
      </c>
      <c r="B37" t="inlineStr">
        <is>
          <t>Bayside</t>
        </is>
      </c>
    </row>
    <row r="38">
      <c r="A38" t="inlineStr">
        <is>
          <t>ROCKDALE</t>
        </is>
      </c>
      <c r="B38" t="inlineStr">
        <is>
          <t>Bayside</t>
        </is>
      </c>
    </row>
    <row r="39">
      <c r="A39" t="inlineStr">
        <is>
          <t>ROSEBERY</t>
        </is>
      </c>
      <c r="B39" t="inlineStr">
        <is>
          <t>Bayside</t>
        </is>
      </c>
    </row>
    <row r="40">
      <c r="A40" t="inlineStr">
        <is>
          <t>SANDRINGHAM</t>
        </is>
      </c>
      <c r="B40" t="inlineStr">
        <is>
          <t>Bayside</t>
        </is>
      </c>
    </row>
    <row r="41">
      <c r="A41" t="inlineStr">
        <is>
          <t>SANS SOUCI</t>
        </is>
      </c>
      <c r="B41" t="inlineStr">
        <is>
          <t>Bayside</t>
        </is>
      </c>
    </row>
    <row r="42">
      <c r="A42" t="inlineStr">
        <is>
          <t>TURRELLA</t>
        </is>
      </c>
      <c r="B42" t="inlineStr">
        <is>
          <t>Bayside</t>
        </is>
      </c>
    </row>
    <row r="43">
      <c r="A43" t="inlineStr">
        <is>
          <t>WOLLI CREEK</t>
        </is>
      </c>
      <c r="B43" t="inlineStr">
        <is>
          <t>Bayside</t>
        </is>
      </c>
    </row>
    <row r="44">
      <c r="A44" t="inlineStr">
        <is>
          <t>BANKSMEADOW</t>
        </is>
      </c>
      <c r="B44" t="inlineStr">
        <is>
          <t>Bayside</t>
        </is>
      </c>
    </row>
    <row r="45">
      <c r="A45" t="inlineStr">
        <is>
          <t>PORT BOTANY</t>
        </is>
      </c>
      <c r="B45" t="inlineStr">
        <is>
          <t>Bayside</t>
        </is>
      </c>
    </row>
    <row r="46">
      <c r="A46" t="inlineStr">
        <is>
          <t>LADY ROBINSONS BEACH</t>
        </is>
      </c>
      <c r="B46" t="inlineStr">
        <is>
          <t>Bayside</t>
        </is>
      </c>
    </row>
    <row r="47">
      <c r="A47" t="inlineStr">
        <is>
          <t>NORTH SYDNEY</t>
        </is>
      </c>
      <c r="B47" t="inlineStr">
        <is>
          <t>North Sydney</t>
        </is>
      </c>
    </row>
    <row r="48">
      <c r="A48" t="inlineStr">
        <is>
          <t>KIRRIBILLI</t>
        </is>
      </c>
      <c r="B48" t="inlineStr">
        <is>
          <t>North Sydney</t>
        </is>
      </c>
    </row>
    <row r="49">
      <c r="A49" t="inlineStr">
        <is>
          <t>MILSONS POINT</t>
        </is>
      </c>
      <c r="B49" t="inlineStr">
        <is>
          <t>North Sydney</t>
        </is>
      </c>
    </row>
    <row r="50">
      <c r="A50" t="inlineStr">
        <is>
          <t>LAVENDER BAY</t>
        </is>
      </c>
      <c r="B50" t="inlineStr">
        <is>
          <t>North Sydney</t>
        </is>
      </c>
    </row>
    <row r="51">
      <c r="A51" t="inlineStr">
        <is>
          <t>MCMAHONS POINT</t>
        </is>
      </c>
      <c r="B51" t="inlineStr">
        <is>
          <t>North Sydney</t>
        </is>
      </c>
    </row>
    <row r="52">
      <c r="A52" t="inlineStr">
        <is>
          <t>NEUTRAL BAY</t>
        </is>
      </c>
      <c r="B52" t="inlineStr">
        <is>
          <t>North Sydney</t>
        </is>
      </c>
    </row>
    <row r="53">
      <c r="A53" t="inlineStr">
        <is>
          <t>CREMORNE</t>
        </is>
      </c>
      <c r="B53" t="inlineStr">
        <is>
          <t>North Sydney</t>
        </is>
      </c>
    </row>
    <row r="54">
      <c r="A54" t="inlineStr">
        <is>
          <t>CREMORNE POINT</t>
        </is>
      </c>
      <c r="B54" t="inlineStr">
        <is>
          <t>North Sydney</t>
        </is>
      </c>
    </row>
    <row r="55">
      <c r="A55" t="inlineStr">
        <is>
          <t>CROWS NEST</t>
        </is>
      </c>
      <c r="B55" t="inlineStr">
        <is>
          <t>North Sydney</t>
        </is>
      </c>
    </row>
    <row r="56">
      <c r="A56" t="inlineStr">
        <is>
          <t>WAVERTON</t>
        </is>
      </c>
      <c r="B56" t="inlineStr">
        <is>
          <t>North Sydney</t>
        </is>
      </c>
    </row>
    <row r="57">
      <c r="A57" t="inlineStr">
        <is>
          <t>WOLLSTONECRAFT</t>
        </is>
      </c>
      <c r="B57" t="inlineStr">
        <is>
          <t>North Sydney</t>
        </is>
      </c>
    </row>
    <row r="58">
      <c r="A58" t="inlineStr">
        <is>
          <t>ST LEONARDS</t>
        </is>
      </c>
      <c r="B58" t="inlineStr">
        <is>
          <t>North Sydney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ServiceApprovalNumber</t>
        </is>
      </c>
      <c r="B1" t="inlineStr">
        <is>
          <t>ServiceName</t>
        </is>
      </c>
      <c r="C1" t="inlineStr">
        <is>
          <t>Suburb</t>
        </is>
      </c>
      <c r="D1" t="inlineStr">
        <is>
          <t>Postcode</t>
        </is>
      </c>
      <c r="E1" t="inlineStr">
        <is>
          <t>NumberOfApprovedPlaces</t>
        </is>
      </c>
      <c r="F1" t="inlineStr">
        <is>
          <t>OverallRating</t>
        </is>
      </c>
      <c r="G1" t="inlineStr">
        <is>
          <t>Long Day Care</t>
        </is>
      </c>
      <c r="H1" t="inlineStr">
        <is>
          <t>Preschool/Kindergarten - Stand alone</t>
        </is>
      </c>
      <c r="I1" t="inlineStr">
        <is>
          <t>Preschool/Kindergarten - Part of a School</t>
        </is>
      </c>
      <c r="J1" t="inlineStr">
        <is>
          <t>Outside school Hours Care - After School</t>
        </is>
      </c>
      <c r="K1" t="inlineStr">
        <is>
          <t>LGA (lookup)</t>
        </is>
      </c>
    </row>
    <row r="2">
      <c r="A2" t="inlineStr">
        <is>
          <t>SE-40019120</t>
        </is>
      </c>
      <c r="B2" t="inlineStr">
        <is>
          <t>Uniting Preschool Turramurra - Turratots</t>
        </is>
      </c>
      <c r="C2" t="inlineStr">
        <is>
          <t>TURRAMURRA</t>
        </is>
      </c>
      <c r="D2" t="inlineStr">
        <is>
          <t>2074</t>
        </is>
      </c>
      <c r="E2" t="n">
        <v>36</v>
      </c>
      <c r="F2" t="inlineStr">
        <is>
          <t>Meeting NQS</t>
        </is>
      </c>
      <c r="G2" t="inlineStr">
        <is>
          <t>No</t>
        </is>
      </c>
      <c r="H2" t="inlineStr">
        <is>
          <t>Yes</t>
        </is>
      </c>
      <c r="I2" t="inlineStr">
        <is>
          <t>No</t>
        </is>
      </c>
      <c r="J2" t="inlineStr">
        <is>
          <t>No</t>
        </is>
      </c>
      <c r="K2">
        <f>IFERROR(VLOOKUP(UPPER(C2),Suburb_LGA_Map!$A:$B,2,FALSE),"")</f>
        <v/>
      </c>
    </row>
    <row r="3">
      <c r="A3" t="inlineStr">
        <is>
          <t>SE-40027017</t>
        </is>
      </c>
      <c r="B3" t="inlineStr">
        <is>
          <t>Roseville Kids Care</t>
        </is>
      </c>
      <c r="C3" t="inlineStr">
        <is>
          <t>ROSEVILLE</t>
        </is>
      </c>
      <c r="D3" t="inlineStr">
        <is>
          <t>2069</t>
        </is>
      </c>
      <c r="E3" t="n">
        <v>44</v>
      </c>
      <c r="F3" t="inlineStr">
        <is>
          <t>Meeting NQS</t>
        </is>
      </c>
      <c r="G3" t="inlineStr">
        <is>
          <t>No</t>
        </is>
      </c>
      <c r="H3" t="inlineStr">
        <is>
          <t>No</t>
        </is>
      </c>
      <c r="I3" t="inlineStr">
        <is>
          <t>No</t>
        </is>
      </c>
      <c r="J3" t="inlineStr">
        <is>
          <t>Yes</t>
        </is>
      </c>
      <c r="K3">
        <f>IFERROR(VLOOKUP(UPPER(C3),Suburb_LGA_Map!$A:$B,2,FALSE),"")</f>
        <v/>
      </c>
    </row>
    <row r="4">
      <c r="A4" t="inlineStr">
        <is>
          <t>SE-00008702</t>
        </is>
      </c>
      <c r="B4" t="inlineStr">
        <is>
          <t>Peter Rabbit Community Preschool</t>
        </is>
      </c>
      <c r="C4" t="inlineStr">
        <is>
          <t>WAHROONGA</t>
        </is>
      </c>
      <c r="D4" t="inlineStr">
        <is>
          <t>2076</t>
        </is>
      </c>
      <c r="E4" t="n">
        <v>20</v>
      </c>
      <c r="F4" t="inlineStr">
        <is>
          <t>Meeting NQS</t>
        </is>
      </c>
      <c r="G4" t="inlineStr">
        <is>
          <t>No</t>
        </is>
      </c>
      <c r="H4" t="inlineStr">
        <is>
          <t>Yes</t>
        </is>
      </c>
      <c r="I4" t="inlineStr">
        <is>
          <t>No</t>
        </is>
      </c>
      <c r="J4" t="inlineStr">
        <is>
          <t>No</t>
        </is>
      </c>
      <c r="K4">
        <f>IFERROR(VLOOKUP(UPPER(C4),Suburb_LGA_Map!$A:$B,2,FALSE),"")</f>
        <v/>
      </c>
    </row>
    <row r="5">
      <c r="A5" t="inlineStr">
        <is>
          <t>SE-00008711</t>
        </is>
      </c>
      <c r="B5" t="inlineStr">
        <is>
          <t>Pinjarra Early Years Pre-School</t>
        </is>
      </c>
      <c r="C5" t="inlineStr">
        <is>
          <t>GORDON</t>
        </is>
      </c>
      <c r="D5" t="inlineStr">
        <is>
          <t>2072</t>
        </is>
      </c>
      <c r="E5" t="n">
        <v>70</v>
      </c>
      <c r="F5" t="inlineStr">
        <is>
          <t>Meeting NQS</t>
        </is>
      </c>
      <c r="G5" t="inlineStr">
        <is>
          <t>Yes</t>
        </is>
      </c>
      <c r="H5" t="inlineStr">
        <is>
          <t>Yes</t>
        </is>
      </c>
      <c r="I5" t="inlineStr">
        <is>
          <t>No</t>
        </is>
      </c>
      <c r="J5" t="inlineStr">
        <is>
          <t>No</t>
        </is>
      </c>
      <c r="K5">
        <f>IFERROR(VLOOKUP(UPPER(C5),Suburb_LGA_Map!$A:$B,2,FALSE),"")</f>
        <v/>
      </c>
    </row>
    <row r="6">
      <c r="A6" t="inlineStr">
        <is>
          <t>SE-00008733</t>
        </is>
      </c>
      <c r="B6" t="inlineStr">
        <is>
          <t>Guardian Childcare &amp; Education Wahroonga</t>
        </is>
      </c>
      <c r="C6" t="inlineStr">
        <is>
          <t>WAHROONGA</t>
        </is>
      </c>
      <c r="D6" t="inlineStr">
        <is>
          <t>2076</t>
        </is>
      </c>
      <c r="E6" t="n">
        <v>78</v>
      </c>
      <c r="F6" t="inlineStr">
        <is>
          <t>Meeting NQS</t>
        </is>
      </c>
      <c r="G6" t="inlineStr">
        <is>
          <t>Yes</t>
        </is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>
        <f>IFERROR(VLOOKUP(UPPER(C6),Suburb_LGA_Map!$A:$B,2,FALSE),"")</f>
        <v/>
      </c>
    </row>
    <row r="7">
      <c r="A7" t="inlineStr">
        <is>
          <t>SE-00008750</t>
        </is>
      </c>
      <c r="B7" t="inlineStr">
        <is>
          <t>Masada Cottage Early Learning Centre</t>
        </is>
      </c>
      <c r="C7" t="inlineStr">
        <is>
          <t>ST IVES</t>
        </is>
      </c>
      <c r="D7" t="inlineStr">
        <is>
          <t>2075</t>
        </is>
      </c>
      <c r="E7" t="n">
        <v>81</v>
      </c>
      <c r="F7" t="inlineStr">
        <is>
          <t>Meeting NQS</t>
        </is>
      </c>
      <c r="G7" t="inlineStr">
        <is>
          <t>Yes</t>
        </is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>
        <f>IFERROR(VLOOKUP(UPPER(C7),Suburb_LGA_Map!$A:$B,2,FALSE),"")</f>
        <v/>
      </c>
    </row>
    <row r="8">
      <c r="A8" t="inlineStr">
        <is>
          <t>SE-00008783</t>
        </is>
      </c>
      <c r="B8" t="inlineStr">
        <is>
          <t>BILBY PRESCHOOL</t>
        </is>
      </c>
      <c r="C8" t="inlineStr">
        <is>
          <t>ST LEONARDS</t>
        </is>
      </c>
      <c r="D8" t="inlineStr">
        <is>
          <t>2065</t>
        </is>
      </c>
      <c r="E8" t="n">
        <v>15</v>
      </c>
      <c r="F8" t="inlineStr">
        <is>
          <t>Meeting NQS</t>
        </is>
      </c>
      <c r="G8" t="inlineStr">
        <is>
          <t>Yes</t>
        </is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>
        <f>IFERROR(VLOOKUP(UPPER(C8),Suburb_LGA_Map!$A:$B,2,FALSE),"")</f>
        <v/>
      </c>
    </row>
    <row r="9">
      <c r="A9" t="inlineStr">
        <is>
          <t>SE-00008791</t>
        </is>
      </c>
      <c r="B9" t="inlineStr">
        <is>
          <t>Pymble Turramurra Preschool</t>
        </is>
      </c>
      <c r="C9" t="inlineStr">
        <is>
          <t>TURRAMURRA</t>
        </is>
      </c>
      <c r="D9" t="inlineStr">
        <is>
          <t>2074</t>
        </is>
      </c>
      <c r="E9" t="n">
        <v>45</v>
      </c>
      <c r="F9" t="inlineStr">
        <is>
          <t>Exceeding NQS</t>
        </is>
      </c>
      <c r="G9" t="inlineStr">
        <is>
          <t>No</t>
        </is>
      </c>
      <c r="H9" t="inlineStr">
        <is>
          <t>Yes</t>
        </is>
      </c>
      <c r="I9" t="inlineStr">
        <is>
          <t>No</t>
        </is>
      </c>
      <c r="J9" t="inlineStr">
        <is>
          <t>No</t>
        </is>
      </c>
      <c r="K9">
        <f>IFERROR(VLOOKUP(UPPER(C9),Suburb_LGA_Map!$A:$B,2,FALSE),"")</f>
        <v/>
      </c>
    </row>
    <row r="10">
      <c r="A10" t="inlineStr">
        <is>
          <t>SE-40000679</t>
        </is>
      </c>
      <c r="B10" t="inlineStr">
        <is>
          <t>TeamKids - Kingsgrove Public School</t>
        </is>
      </c>
      <c r="C10" t="inlineStr">
        <is>
          <t>KINGSGROVE</t>
        </is>
      </c>
      <c r="D10" t="inlineStr">
        <is>
          <t>2208</t>
        </is>
      </c>
      <c r="E10" t="n">
        <v>55</v>
      </c>
      <c r="F10" t="inlineStr">
        <is>
          <t>Meeting NQS</t>
        </is>
      </c>
      <c r="G10" t="inlineStr">
        <is>
          <t>No</t>
        </is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>
        <f>IFERROR(VLOOKUP(UPPER(C10),Suburb_LGA_Map!$A:$B,2,FALSE),"")</f>
        <v/>
      </c>
    </row>
    <row r="11">
      <c r="A11" t="inlineStr">
        <is>
          <t>SE-40000680</t>
        </is>
      </c>
      <c r="B11" t="inlineStr">
        <is>
          <t>Ganeinu - Gan Izzy</t>
        </is>
      </c>
      <c r="C11" t="inlineStr">
        <is>
          <t>ST IVES</t>
        </is>
      </c>
      <c r="D11" t="inlineStr">
        <is>
          <t>2075</t>
        </is>
      </c>
      <c r="E11" t="n">
        <v>80</v>
      </c>
      <c r="F11" t="inlineStr">
        <is>
          <t>Exceeding NQS</t>
        </is>
      </c>
      <c r="G11" t="inlineStr">
        <is>
          <t>Yes</t>
        </is>
      </c>
      <c r="H11" t="inlineStr">
        <is>
          <t>No</t>
        </is>
      </c>
      <c r="I11" t="inlineStr">
        <is>
          <t>No</t>
        </is>
      </c>
      <c r="J11" t="inlineStr">
        <is>
          <t>Yes</t>
        </is>
      </c>
      <c r="K11">
        <f>IFERROR(VLOOKUP(UPPER(C11),Suburb_LGA_Map!$A:$B,2,FALSE),"")</f>
        <v/>
      </c>
    </row>
    <row r="12">
      <c r="A12" t="inlineStr">
        <is>
          <t>SE-40019634</t>
        </is>
      </c>
      <c r="B12" t="inlineStr">
        <is>
          <t>Guardian Childcare &amp; Education St Ives</t>
        </is>
      </c>
      <c r="C12" t="inlineStr">
        <is>
          <t>ST IVES</t>
        </is>
      </c>
      <c r="D12" t="inlineStr">
        <is>
          <t>2075</t>
        </is>
      </c>
      <c r="E12" t="n">
        <v>122</v>
      </c>
      <c r="F12" t="inlineStr">
        <is>
          <t>Meeting NQS</t>
        </is>
      </c>
      <c r="G12" t="inlineStr">
        <is>
          <t>Yes</t>
        </is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>
        <f>IFERROR(VLOOKUP(UPPER(C12),Suburb_LGA_Map!$A:$B,2,FALSE),"")</f>
        <v/>
      </c>
    </row>
    <row r="13">
      <c r="A13" t="inlineStr">
        <is>
          <t>SE-40019773</t>
        </is>
      </c>
      <c r="B13" t="inlineStr">
        <is>
          <t>Mini Masterminds Rockdale</t>
        </is>
      </c>
      <c r="C13" t="inlineStr">
        <is>
          <t>ROCKDALE</t>
        </is>
      </c>
      <c r="D13" t="inlineStr">
        <is>
          <t>2216</t>
        </is>
      </c>
      <c r="E13" t="n">
        <v>79</v>
      </c>
      <c r="F13" t="inlineStr">
        <is>
          <t>Meeting NQS</t>
        </is>
      </c>
      <c r="G13" t="inlineStr">
        <is>
          <t>Yes</t>
        </is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>
        <f>IFERROR(VLOOKUP(UPPER(C13),Suburb_LGA_Map!$A:$B,2,FALSE),"")</f>
        <v/>
      </c>
    </row>
    <row r="14">
      <c r="A14" t="inlineStr">
        <is>
          <t>SE-40009261</t>
        </is>
      </c>
      <c r="B14" t="inlineStr">
        <is>
          <t>MindChamps Early Learning @ Mascot 2</t>
        </is>
      </c>
      <c r="C14" t="inlineStr">
        <is>
          <t>MASCOT</t>
        </is>
      </c>
      <c r="D14" t="inlineStr">
        <is>
          <t>2020</t>
        </is>
      </c>
      <c r="E14" t="n">
        <v>86</v>
      </c>
      <c r="F14" t="inlineStr">
        <is>
          <t>Meeting NQS</t>
        </is>
      </c>
      <c r="G14" t="inlineStr">
        <is>
          <t>Yes</t>
        </is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>
        <f>IFERROR(VLOOKUP(UPPER(C14),Suburb_LGA_Map!$A:$B,2,FALSE),"")</f>
        <v/>
      </c>
    </row>
    <row r="15">
      <c r="A15" t="inlineStr">
        <is>
          <t>SE-00007741</t>
        </is>
      </c>
      <c r="B15" t="inlineStr">
        <is>
          <t>Kelly's Place Childrens Centre</t>
        </is>
      </c>
      <c r="C15" t="inlineStr">
        <is>
          <t>CROWS NEST</t>
        </is>
      </c>
      <c r="D15" t="inlineStr">
        <is>
          <t>2065</t>
        </is>
      </c>
      <c r="E15" t="n">
        <v>45</v>
      </c>
      <c r="F15" t="inlineStr">
        <is>
          <t>Exceeding NQS</t>
        </is>
      </c>
      <c r="G15" t="inlineStr">
        <is>
          <t>Yes</t>
        </is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>
        <f>IFERROR(VLOOKUP(UPPER(C15),Suburb_LGA_Map!$A:$B,2,FALSE),"")</f>
        <v/>
      </c>
    </row>
    <row r="16">
      <c r="A16" t="inlineStr">
        <is>
          <t>SE-00007745</t>
        </is>
      </c>
      <c r="B16" t="inlineStr">
        <is>
          <t>Treewood Early Learning Centre</t>
        </is>
      </c>
      <c r="C16" t="inlineStr">
        <is>
          <t>ST IVES</t>
        </is>
      </c>
      <c r="D16" t="inlineStr">
        <is>
          <t>2075</t>
        </is>
      </c>
      <c r="E16" t="n">
        <v>17</v>
      </c>
      <c r="F16" t="inlineStr">
        <is>
          <t>Meeting NQS</t>
        </is>
      </c>
      <c r="G16" t="inlineStr">
        <is>
          <t>Yes</t>
        </is>
      </c>
      <c r="H16" t="inlineStr">
        <is>
          <t>No</t>
        </is>
      </c>
      <c r="I16" t="inlineStr">
        <is>
          <t>No</t>
        </is>
      </c>
      <c r="J16" t="inlineStr">
        <is>
          <t>Yes</t>
        </is>
      </c>
      <c r="K16">
        <f>IFERROR(VLOOKUP(UPPER(C16),Suburb_LGA_Map!$A:$B,2,FALSE),"")</f>
        <v/>
      </c>
    </row>
    <row r="17">
      <c r="A17" t="inlineStr">
        <is>
          <t>SE-00007755</t>
        </is>
      </c>
      <c r="B17" t="inlineStr">
        <is>
          <t>Little Gumnuts West Pymble Early Learning Centre</t>
        </is>
      </c>
      <c r="C17" t="inlineStr">
        <is>
          <t>PYMBLE</t>
        </is>
      </c>
      <c r="D17" t="inlineStr">
        <is>
          <t>2073</t>
        </is>
      </c>
      <c r="E17" t="n">
        <v>40</v>
      </c>
      <c r="F17" t="inlineStr">
        <is>
          <t>Meeting NQS</t>
        </is>
      </c>
      <c r="G17" t="inlineStr">
        <is>
          <t>Yes</t>
        </is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>
        <f>IFERROR(VLOOKUP(UPPER(C17),Suburb_LGA_Map!$A:$B,2,FALSE),"")</f>
        <v/>
      </c>
    </row>
    <row r="18">
      <c r="A18" t="inlineStr">
        <is>
          <t>SE-00007769</t>
        </is>
      </c>
      <c r="B18" t="inlineStr">
        <is>
          <t>Only About Children Turramurra</t>
        </is>
      </c>
      <c r="C18" t="inlineStr">
        <is>
          <t>TURRAMURRA</t>
        </is>
      </c>
      <c r="D18" t="inlineStr">
        <is>
          <t>2074</t>
        </is>
      </c>
      <c r="E18" t="n">
        <v>87</v>
      </c>
      <c r="F18" t="inlineStr">
        <is>
          <t>Meeting NQS</t>
        </is>
      </c>
      <c r="G18" t="inlineStr">
        <is>
          <t>Yes</t>
        </is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>
        <f>IFERROR(VLOOKUP(UPPER(C18),Suburb_LGA_Map!$A:$B,2,FALSE),"")</f>
        <v/>
      </c>
    </row>
    <row r="19">
      <c r="A19" t="inlineStr">
        <is>
          <t>SE-00007816</t>
        </is>
      </c>
      <c r="B19" t="inlineStr">
        <is>
          <t>Kids Oasis</t>
        </is>
      </c>
      <c r="C19" t="inlineStr">
        <is>
          <t>KINGSGROVE</t>
        </is>
      </c>
      <c r="D19" t="inlineStr">
        <is>
          <t>2208</t>
        </is>
      </c>
      <c r="E19" t="n">
        <v>29</v>
      </c>
      <c r="F19" t="inlineStr">
        <is>
          <t>Exceeding NQS</t>
        </is>
      </c>
      <c r="G19" t="inlineStr">
        <is>
          <t>Yes</t>
        </is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>
        <f>IFERROR(VLOOKUP(UPPER(C19),Suburb_LGA_Map!$A:$B,2,FALSE),"")</f>
        <v/>
      </c>
    </row>
    <row r="20">
      <c r="A20" t="inlineStr">
        <is>
          <t>SE-00014282</t>
        </is>
      </c>
      <c r="B20" t="inlineStr">
        <is>
          <t>Learn and Play</t>
        </is>
      </c>
      <c r="C20" t="inlineStr">
        <is>
          <t>BEXLEY</t>
        </is>
      </c>
      <c r="D20" t="inlineStr">
        <is>
          <t>2207</t>
        </is>
      </c>
      <c r="E20" t="n">
        <v>46</v>
      </c>
      <c r="F20" t="inlineStr">
        <is>
          <t>Working Towards NQS</t>
        </is>
      </c>
      <c r="G20" t="inlineStr">
        <is>
          <t>Yes</t>
        </is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>
        <f>IFERROR(VLOOKUP(UPPER(C20),Suburb_LGA_Map!$A:$B,2,FALSE),"")</f>
        <v/>
      </c>
    </row>
    <row r="21">
      <c r="A21" t="inlineStr">
        <is>
          <t>SE-40004260</t>
        </is>
      </c>
      <c r="B21" t="inlineStr">
        <is>
          <t>Reddam House Early Learning School St Leonards</t>
        </is>
      </c>
      <c r="C21" t="inlineStr">
        <is>
          <t>ST LEONARDS</t>
        </is>
      </c>
      <c r="D21" t="inlineStr">
        <is>
          <t>2065</t>
        </is>
      </c>
      <c r="E21" t="n">
        <v>242</v>
      </c>
      <c r="F21" t="inlineStr">
        <is>
          <t>Meeting NQS</t>
        </is>
      </c>
      <c r="G21" t="inlineStr">
        <is>
          <t>Yes</t>
        </is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>
        <f>IFERROR(VLOOKUP(UPPER(C21),Suburb_LGA_Map!$A:$B,2,FALSE),"")</f>
        <v/>
      </c>
    </row>
    <row r="22">
      <c r="A22" t="inlineStr">
        <is>
          <t>SE-40004430</t>
        </is>
      </c>
      <c r="B22" t="inlineStr">
        <is>
          <t>The Green Elephant Early Learning Centre</t>
        </is>
      </c>
      <c r="C22" t="inlineStr">
        <is>
          <t>ROSEBERY</t>
        </is>
      </c>
      <c r="D22" t="inlineStr">
        <is>
          <t>2018</t>
        </is>
      </c>
      <c r="E22" t="n">
        <v>69</v>
      </c>
      <c r="F22" t="inlineStr">
        <is>
          <t>Exceeding NQS</t>
        </is>
      </c>
      <c r="G22" t="inlineStr">
        <is>
          <t>Yes</t>
        </is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>
        <f>IFERROR(VLOOKUP(UPPER(C22),Suburb_LGA_Map!$A:$B,2,FALSE),"")</f>
        <v/>
      </c>
    </row>
    <row r="23">
      <c r="A23" t="inlineStr">
        <is>
          <t>SE-00006704</t>
        </is>
      </c>
      <c r="B23" t="inlineStr">
        <is>
          <t>Early Learners of Botany Bay</t>
        </is>
      </c>
      <c r="C23" t="inlineStr">
        <is>
          <t>BOTANY</t>
        </is>
      </c>
      <c r="D23" t="inlineStr">
        <is>
          <t>2019</t>
        </is>
      </c>
      <c r="E23" t="n">
        <v>38</v>
      </c>
      <c r="F23" t="inlineStr">
        <is>
          <t>Meeting NQS</t>
        </is>
      </c>
      <c r="G23" t="inlineStr">
        <is>
          <t>Yes</t>
        </is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>
        <f>IFERROR(VLOOKUP(UPPER(C23),Suburb_LGA_Map!$A:$B,2,FALSE),"")</f>
        <v/>
      </c>
    </row>
    <row r="24">
      <c r="A24" t="inlineStr">
        <is>
          <t>SE-00006751</t>
        </is>
      </c>
      <c r="B24" t="inlineStr">
        <is>
          <t>Bright Stars Pre-School</t>
        </is>
      </c>
      <c r="C24" t="inlineStr">
        <is>
          <t>ROCKDALE</t>
        </is>
      </c>
      <c r="D24" t="inlineStr">
        <is>
          <t>2216</t>
        </is>
      </c>
      <c r="E24" t="n">
        <v>41</v>
      </c>
      <c r="F24" t="inlineStr">
        <is>
          <t>Meeting NQS</t>
        </is>
      </c>
      <c r="G24" t="inlineStr">
        <is>
          <t>Yes</t>
        </is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>
        <f>IFERROR(VLOOKUP(UPPER(C24),Suburb_LGA_Map!$A:$B,2,FALSE),"")</f>
        <v/>
      </c>
    </row>
    <row r="25">
      <c r="A25" t="inlineStr">
        <is>
          <t>SE-00006774</t>
        </is>
      </c>
      <c r="B25" t="inlineStr">
        <is>
          <t>Toybox Early Learning</t>
        </is>
      </c>
      <c r="C25" t="inlineStr">
        <is>
          <t>MASCOT</t>
        </is>
      </c>
      <c r="D25" t="inlineStr">
        <is>
          <t>2020</t>
        </is>
      </c>
      <c r="E25" t="n">
        <v>76</v>
      </c>
      <c r="F25" t="inlineStr">
        <is>
          <t>Meeting NQS</t>
        </is>
      </c>
      <c r="G25" t="inlineStr">
        <is>
          <t>Yes</t>
        </is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>
        <f>IFERROR(VLOOKUP(UPPER(C25),Suburb_LGA_Map!$A:$B,2,FALSE),"")</f>
        <v/>
      </c>
    </row>
    <row r="26">
      <c r="A26" t="inlineStr">
        <is>
          <t>SE-40014694</t>
        </is>
      </c>
      <c r="B26" t="inlineStr">
        <is>
          <t>Being Pymble</t>
        </is>
      </c>
      <c r="C26" t="inlineStr">
        <is>
          <t>WEST PYMBLE</t>
        </is>
      </c>
      <c r="D26" t="inlineStr">
        <is>
          <t>2073</t>
        </is>
      </c>
      <c r="E26" t="n">
        <v>52</v>
      </c>
      <c r="F26" t="inlineStr">
        <is>
          <t>Exceeding NQS</t>
        </is>
      </c>
      <c r="G26" t="inlineStr">
        <is>
          <t>Yes</t>
        </is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>
        <f>IFERROR(VLOOKUP(UPPER(C26),Suburb_LGA_Map!$A:$B,2,FALSE),"")</f>
        <v/>
      </c>
    </row>
    <row r="27">
      <c r="A27" t="inlineStr">
        <is>
          <t>SE-40014711</t>
        </is>
      </c>
      <c r="B27" t="inlineStr">
        <is>
          <t>Little Angels at Pagewood Green</t>
        </is>
      </c>
      <c r="C27" t="inlineStr">
        <is>
          <t>PAGEWOOD</t>
        </is>
      </c>
      <c r="D27" t="inlineStr">
        <is>
          <t>2035</t>
        </is>
      </c>
      <c r="E27" t="n">
        <v>91</v>
      </c>
      <c r="F27" t="inlineStr">
        <is>
          <t>Exceeding NQS</t>
        </is>
      </c>
      <c r="G27" t="inlineStr">
        <is>
          <t>Yes</t>
        </is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>
        <f>IFERROR(VLOOKUP(UPPER(C27),Suburb_LGA_Map!$A:$B,2,FALSE),"")</f>
        <v/>
      </c>
    </row>
    <row r="28">
      <c r="A28" t="inlineStr">
        <is>
          <t>SE-00008805</t>
        </is>
      </c>
      <c r="B28" t="inlineStr">
        <is>
          <t>My Best Me Early Learning Academy</t>
        </is>
      </c>
      <c r="C28" t="inlineStr">
        <is>
          <t>SANS SOUCI</t>
        </is>
      </c>
      <c r="D28" t="inlineStr">
        <is>
          <t>2219</t>
        </is>
      </c>
      <c r="E28" t="n">
        <v>89</v>
      </c>
      <c r="F28" t="inlineStr">
        <is>
          <t>Meeting NQS</t>
        </is>
      </c>
      <c r="G28" t="inlineStr">
        <is>
          <t>Yes</t>
        </is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>
        <f>IFERROR(VLOOKUP(UPPER(C28),Suburb_LGA_Map!$A:$B,2,FALSE),"")</f>
        <v/>
      </c>
    </row>
    <row r="29">
      <c r="A29" t="inlineStr">
        <is>
          <t>SE-00008831</t>
        </is>
      </c>
      <c r="B29" t="inlineStr">
        <is>
          <t>Redlands House Cremorne</t>
        </is>
      </c>
      <c r="C29" t="inlineStr">
        <is>
          <t>CREMORNE</t>
        </is>
      </c>
      <c r="D29" t="inlineStr">
        <is>
          <t>2090</t>
        </is>
      </c>
      <c r="E29" t="n">
        <v>60</v>
      </c>
      <c r="F29" t="inlineStr">
        <is>
          <t>Exceeding NQS</t>
        </is>
      </c>
      <c r="G29" t="inlineStr">
        <is>
          <t>No</t>
        </is>
      </c>
      <c r="H29" t="inlineStr">
        <is>
          <t>No</t>
        </is>
      </c>
      <c r="I29" t="inlineStr">
        <is>
          <t>Yes</t>
        </is>
      </c>
      <c r="J29" t="inlineStr">
        <is>
          <t>No</t>
        </is>
      </c>
      <c r="K29">
        <f>IFERROR(VLOOKUP(UPPER(C29),Suburb_LGA_Map!$A:$B,2,FALSE),"")</f>
        <v/>
      </c>
    </row>
    <row r="30">
      <c r="A30" t="inlineStr">
        <is>
          <t>SE-00008843</t>
        </is>
      </c>
      <c r="B30" t="inlineStr">
        <is>
          <t>Rhonda's Cottage</t>
        </is>
      </c>
      <c r="C30" t="inlineStr">
        <is>
          <t>CREMORNE</t>
        </is>
      </c>
      <c r="D30" t="inlineStr">
        <is>
          <t>2090</t>
        </is>
      </c>
      <c r="E30" t="n">
        <v>69</v>
      </c>
      <c r="F30" t="inlineStr">
        <is>
          <t>Meeting NQS</t>
        </is>
      </c>
      <c r="G30" t="inlineStr">
        <is>
          <t>Yes</t>
        </is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>
        <f>IFERROR(VLOOKUP(UPPER(C30),Suburb_LGA_Map!$A:$B,2,FALSE),"")</f>
        <v/>
      </c>
    </row>
    <row r="31">
      <c r="A31" t="inlineStr">
        <is>
          <t>SE-00008881</t>
        </is>
      </c>
      <c r="B31" t="inlineStr">
        <is>
          <t>Rosebery Cottage</t>
        </is>
      </c>
      <c r="C31" t="inlineStr">
        <is>
          <t>ROSEBERY</t>
        </is>
      </c>
      <c r="D31" t="inlineStr">
        <is>
          <t>2018</t>
        </is>
      </c>
      <c r="E31" t="n">
        <v>35</v>
      </c>
      <c r="F31" t="inlineStr">
        <is>
          <t>Exceeding NQS</t>
        </is>
      </c>
      <c r="G31" t="inlineStr">
        <is>
          <t>Yes</t>
        </is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>
        <f>IFERROR(VLOOKUP(UPPER(C31),Suburb_LGA_Map!$A:$B,2,FALSE),"")</f>
        <v/>
      </c>
    </row>
    <row r="32">
      <c r="A32" t="inlineStr">
        <is>
          <t>SE-00008887</t>
        </is>
      </c>
      <c r="B32" t="inlineStr">
        <is>
          <t>Roseville Preschool Kindergarten</t>
        </is>
      </c>
      <c r="C32" t="inlineStr">
        <is>
          <t>ROSEVILLE</t>
        </is>
      </c>
      <c r="D32" t="inlineStr">
        <is>
          <t>2069</t>
        </is>
      </c>
      <c r="E32" t="n">
        <v>40</v>
      </c>
      <c r="F32" t="inlineStr">
        <is>
          <t>Meeting NQS</t>
        </is>
      </c>
      <c r="G32" t="inlineStr">
        <is>
          <t>Yes</t>
        </is>
      </c>
      <c r="H32" t="inlineStr">
        <is>
          <t>Yes</t>
        </is>
      </c>
      <c r="I32" t="inlineStr">
        <is>
          <t>No</t>
        </is>
      </c>
      <c r="J32" t="inlineStr">
        <is>
          <t>No</t>
        </is>
      </c>
      <c r="K32">
        <f>IFERROR(VLOOKUP(UPPER(C32),Suburb_LGA_Map!$A:$B,2,FALSE),"")</f>
        <v/>
      </c>
    </row>
    <row r="33">
      <c r="A33" t="inlineStr">
        <is>
          <t>SE-00017847</t>
        </is>
      </c>
      <c r="B33" t="inlineStr">
        <is>
          <t>Bexley Montessori Academy</t>
        </is>
      </c>
      <c r="C33" t="inlineStr">
        <is>
          <t>BEXLEY</t>
        </is>
      </c>
      <c r="D33" t="inlineStr">
        <is>
          <t>2207</t>
        </is>
      </c>
      <c r="E33" t="n">
        <v>76</v>
      </c>
      <c r="F33" t="inlineStr"/>
      <c r="G33" t="inlineStr">
        <is>
          <t>Yes</t>
        </is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>
        <f>IFERROR(VLOOKUP(UPPER(C33),Suburb_LGA_Map!$A:$B,2,FALSE),"")</f>
        <v/>
      </c>
    </row>
    <row r="34">
      <c r="A34" t="inlineStr">
        <is>
          <t>SE-00018772</t>
        </is>
      </c>
      <c r="B34" t="inlineStr">
        <is>
          <t>KCS OOSH Rockdale</t>
        </is>
      </c>
      <c r="C34" t="inlineStr">
        <is>
          <t>ROCKDALE</t>
        </is>
      </c>
      <c r="D34" t="inlineStr">
        <is>
          <t>2216</t>
        </is>
      </c>
      <c r="E34" t="n">
        <v>62</v>
      </c>
      <c r="F34" t="inlineStr"/>
      <c r="G34" t="inlineStr">
        <is>
          <t>No</t>
        </is>
      </c>
      <c r="H34" t="inlineStr">
        <is>
          <t>No</t>
        </is>
      </c>
      <c r="I34" t="inlineStr">
        <is>
          <t>No</t>
        </is>
      </c>
      <c r="J34" t="inlineStr">
        <is>
          <t>Yes</t>
        </is>
      </c>
      <c r="K34">
        <f>IFERROR(VLOOKUP(UPPER(C34),Suburb_LGA_Map!$A:$B,2,FALSE),"")</f>
        <v/>
      </c>
    </row>
    <row r="35">
      <c r="A35" t="inlineStr">
        <is>
          <t>SE-00013516</t>
        </is>
      </c>
      <c r="B35" t="inlineStr">
        <is>
          <t>Lindfield Activity Centre</t>
        </is>
      </c>
      <c r="C35" t="inlineStr">
        <is>
          <t>LINDFIELD</t>
        </is>
      </c>
      <c r="D35" t="inlineStr">
        <is>
          <t>2070</t>
        </is>
      </c>
      <c r="E35" t="n">
        <v>155</v>
      </c>
      <c r="F35" t="inlineStr">
        <is>
          <t>Meeting NQS</t>
        </is>
      </c>
      <c r="G35" t="inlineStr">
        <is>
          <t>No</t>
        </is>
      </c>
      <c r="H35" t="inlineStr">
        <is>
          <t>No</t>
        </is>
      </c>
      <c r="I35" t="inlineStr">
        <is>
          <t>No</t>
        </is>
      </c>
      <c r="J35" t="inlineStr">
        <is>
          <t>Yes</t>
        </is>
      </c>
      <c r="K35">
        <f>IFERROR(VLOOKUP(UPPER(C35),Suburb_LGA_Map!$A:$B,2,FALSE),"")</f>
        <v/>
      </c>
    </row>
    <row r="36">
      <c r="A36" t="inlineStr">
        <is>
          <t>SE-00013583</t>
        </is>
      </c>
      <c r="B36" t="inlineStr">
        <is>
          <t>Bexley North Public School P and C Before and After Child Care Centre</t>
        </is>
      </c>
      <c r="C36" t="inlineStr">
        <is>
          <t>BEXLEY NORTH</t>
        </is>
      </c>
      <c r="D36" t="inlineStr">
        <is>
          <t>2207</t>
        </is>
      </c>
      <c r="E36" t="n">
        <v>120</v>
      </c>
      <c r="F36" t="inlineStr">
        <is>
          <t>Meeting NQS</t>
        </is>
      </c>
      <c r="G36" t="inlineStr">
        <is>
          <t>No</t>
        </is>
      </c>
      <c r="H36" t="inlineStr">
        <is>
          <t>No</t>
        </is>
      </c>
      <c r="I36" t="inlineStr">
        <is>
          <t>No</t>
        </is>
      </c>
      <c r="J36" t="inlineStr">
        <is>
          <t>Yes</t>
        </is>
      </c>
      <c r="K36">
        <f>IFERROR(VLOOKUP(UPPER(C36),Suburb_LGA_Map!$A:$B,2,FALSE),"")</f>
        <v/>
      </c>
    </row>
    <row r="37">
      <c r="A37" t="inlineStr">
        <is>
          <t>SE-00013627</t>
        </is>
      </c>
      <c r="B37" t="inlineStr">
        <is>
          <t>Young Giants St Ives Park</t>
        </is>
      </c>
      <c r="C37" t="inlineStr">
        <is>
          <t>ST IVES</t>
        </is>
      </c>
      <c r="D37" t="inlineStr">
        <is>
          <t>2075</t>
        </is>
      </c>
      <c r="E37" t="n">
        <v>43</v>
      </c>
      <c r="F37" t="inlineStr">
        <is>
          <t>Meeting NQS</t>
        </is>
      </c>
      <c r="G37" t="inlineStr">
        <is>
          <t>No</t>
        </is>
      </c>
      <c r="H37" t="inlineStr">
        <is>
          <t>No</t>
        </is>
      </c>
      <c r="I37" t="inlineStr">
        <is>
          <t>No</t>
        </is>
      </c>
      <c r="J37" t="inlineStr">
        <is>
          <t>Yes</t>
        </is>
      </c>
      <c r="K37">
        <f>IFERROR(VLOOKUP(UPPER(C37),Suburb_LGA_Map!$A:$B,2,FALSE),"")</f>
        <v/>
      </c>
    </row>
    <row r="38">
      <c r="A38" t="inlineStr">
        <is>
          <t>SE-00017239</t>
        </is>
      </c>
      <c r="B38" t="inlineStr">
        <is>
          <t>Sunshine Kidz</t>
        </is>
      </c>
      <c r="C38" t="inlineStr">
        <is>
          <t>BARDWELL PARK</t>
        </is>
      </c>
      <c r="D38" t="inlineStr">
        <is>
          <t>2207</t>
        </is>
      </c>
      <c r="E38" t="n">
        <v>15</v>
      </c>
      <c r="F38" t="inlineStr">
        <is>
          <t>Meeting NQS</t>
        </is>
      </c>
      <c r="G38" t="inlineStr">
        <is>
          <t>No</t>
        </is>
      </c>
      <c r="H38" t="inlineStr">
        <is>
          <t>No</t>
        </is>
      </c>
      <c r="I38" t="inlineStr">
        <is>
          <t>No</t>
        </is>
      </c>
      <c r="J38" t="inlineStr">
        <is>
          <t>Yes</t>
        </is>
      </c>
      <c r="K38">
        <f>IFERROR(VLOOKUP(UPPER(C38),Suburb_LGA_Map!$A:$B,2,FALSE),"")</f>
        <v/>
      </c>
    </row>
    <row r="39">
      <c r="A39" t="inlineStr">
        <is>
          <t>SE-00017243</t>
        </is>
      </c>
      <c r="B39" t="inlineStr">
        <is>
          <t>Amana OSHC Arkana College</t>
        </is>
      </c>
      <c r="C39" t="inlineStr">
        <is>
          <t>Kingsgrove</t>
        </is>
      </c>
      <c r="D39" t="inlineStr">
        <is>
          <t>2208</t>
        </is>
      </c>
      <c r="E39" t="n">
        <v>50</v>
      </c>
      <c r="F39" t="inlineStr">
        <is>
          <t>Meeting NQS</t>
        </is>
      </c>
      <c r="G39" t="inlineStr">
        <is>
          <t>No</t>
        </is>
      </c>
      <c r="H39" t="inlineStr">
        <is>
          <t>No</t>
        </is>
      </c>
      <c r="I39" t="inlineStr">
        <is>
          <t>No</t>
        </is>
      </c>
      <c r="J39" t="inlineStr">
        <is>
          <t>Yes</t>
        </is>
      </c>
      <c r="K39">
        <f>IFERROR(VLOOKUP(UPPER(C39),Suburb_LGA_Map!$A:$B,2,FALSE),"")</f>
        <v/>
      </c>
    </row>
    <row r="40">
      <c r="A40" t="inlineStr">
        <is>
          <t>SE-00017253</t>
        </is>
      </c>
      <c r="B40" t="inlineStr">
        <is>
          <t>The After School Klub Athelstane</t>
        </is>
      </c>
      <c r="C40" t="inlineStr">
        <is>
          <t>ARNCLIFFE</t>
        </is>
      </c>
      <c r="D40" t="inlineStr">
        <is>
          <t>2205</t>
        </is>
      </c>
      <c r="E40" t="n">
        <v>24</v>
      </c>
      <c r="F40" t="inlineStr">
        <is>
          <t>Meeting NQS</t>
        </is>
      </c>
      <c r="G40" t="inlineStr">
        <is>
          <t>No</t>
        </is>
      </c>
      <c r="H40" t="inlineStr">
        <is>
          <t>No</t>
        </is>
      </c>
      <c r="I40" t="inlineStr">
        <is>
          <t>No</t>
        </is>
      </c>
      <c r="J40" t="inlineStr">
        <is>
          <t>Yes</t>
        </is>
      </c>
      <c r="K40">
        <f>IFERROR(VLOOKUP(UPPER(C40),Suburb_LGA_Map!$A:$B,2,FALSE),"")</f>
        <v/>
      </c>
    </row>
    <row r="41">
      <c r="A41" t="inlineStr">
        <is>
          <t>SE-00017260</t>
        </is>
      </c>
      <c r="B41" t="inlineStr">
        <is>
          <t>SCECS OSHC St Joseph's Rockdale</t>
        </is>
      </c>
      <c r="C41" t="inlineStr">
        <is>
          <t>Rockdale</t>
        </is>
      </c>
      <c r="D41" t="inlineStr">
        <is>
          <t>2216</t>
        </is>
      </c>
      <c r="E41" t="n">
        <v>75</v>
      </c>
      <c r="F41" t="inlineStr">
        <is>
          <t>Meeting NQS</t>
        </is>
      </c>
      <c r="G41" t="inlineStr">
        <is>
          <t>No</t>
        </is>
      </c>
      <c r="H41" t="inlineStr">
        <is>
          <t>No</t>
        </is>
      </c>
      <c r="I41" t="inlineStr">
        <is>
          <t>No</t>
        </is>
      </c>
      <c r="J41" t="inlineStr">
        <is>
          <t>Yes</t>
        </is>
      </c>
      <c r="K41">
        <f>IFERROR(VLOOKUP(UPPER(C41),Suburb_LGA_Map!$A:$B,2,FALSE),"")</f>
        <v/>
      </c>
    </row>
    <row r="42">
      <c r="A42" t="inlineStr">
        <is>
          <t>SE-00017292</t>
        </is>
      </c>
      <c r="B42" t="inlineStr">
        <is>
          <t>Little Scribblers Brighton Le Sands</t>
        </is>
      </c>
      <c r="C42" t="inlineStr">
        <is>
          <t>BRIGHTON-LE-SANDS</t>
        </is>
      </c>
      <c r="D42" t="inlineStr">
        <is>
          <t>2216</t>
        </is>
      </c>
      <c r="E42" t="n">
        <v>73</v>
      </c>
      <c r="F42" t="inlineStr">
        <is>
          <t>Meeting NQS</t>
        </is>
      </c>
      <c r="G42" t="inlineStr">
        <is>
          <t>Yes</t>
        </is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>
        <f>IFERROR(VLOOKUP(UPPER(C42),Suburb_LGA_Map!$A:$B,2,FALSE),"")</f>
        <v/>
      </c>
    </row>
    <row r="43">
      <c r="A43" t="inlineStr">
        <is>
          <t>SE-00017338</t>
        </is>
      </c>
      <c r="B43" t="inlineStr">
        <is>
          <t>Little Endeavours Early Learning Centre</t>
        </is>
      </c>
      <c r="C43" t="inlineStr">
        <is>
          <t>ARNCLIFFE</t>
        </is>
      </c>
      <c r="D43" t="inlineStr">
        <is>
          <t>2205</t>
        </is>
      </c>
      <c r="E43" t="n">
        <v>50</v>
      </c>
      <c r="F43" t="inlineStr"/>
      <c r="G43" t="inlineStr">
        <is>
          <t>Yes</t>
        </is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>
        <f>IFERROR(VLOOKUP(UPPER(C43),Suburb_LGA_Map!$A:$B,2,FALSE),"")</f>
        <v/>
      </c>
    </row>
    <row r="44">
      <c r="A44" t="inlineStr">
        <is>
          <t>SE-40021539</t>
        </is>
      </c>
      <c r="B44" t="inlineStr">
        <is>
          <t>St Joseph's Preschool and Long Day Care Service Rosebery</t>
        </is>
      </c>
      <c r="C44" t="inlineStr">
        <is>
          <t>ROSEBERY</t>
        </is>
      </c>
      <c r="D44" t="inlineStr">
        <is>
          <t>2018</t>
        </is>
      </c>
      <c r="E44" t="n">
        <v>62</v>
      </c>
      <c r="F44" t="inlineStr">
        <is>
          <t>Meeting NQS</t>
        </is>
      </c>
      <c r="G44" t="inlineStr">
        <is>
          <t>Yes</t>
        </is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>
        <f>IFERROR(VLOOKUP(UPPER(C44),Suburb_LGA_Map!$A:$B,2,FALSE),"")</f>
        <v/>
      </c>
    </row>
    <row r="45">
      <c r="A45" t="inlineStr">
        <is>
          <t>SE-40021623</t>
        </is>
      </c>
      <c r="B45" t="inlineStr">
        <is>
          <t>Bright Sunshine Children Centre</t>
        </is>
      </c>
      <c r="C45" t="inlineStr">
        <is>
          <t>BEXLEY</t>
        </is>
      </c>
      <c r="D45" t="inlineStr">
        <is>
          <t>2207</t>
        </is>
      </c>
      <c r="E45" t="n">
        <v>32</v>
      </c>
      <c r="F45" t="inlineStr">
        <is>
          <t>Meeting NQS</t>
        </is>
      </c>
      <c r="G45" t="inlineStr">
        <is>
          <t>Yes</t>
        </is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>
        <f>IFERROR(VLOOKUP(UPPER(C45),Suburb_LGA_Map!$A:$B,2,FALSE),"")</f>
        <v/>
      </c>
    </row>
    <row r="46">
      <c r="A46" t="inlineStr">
        <is>
          <t>SE-40002060</t>
        </is>
      </c>
      <c r="B46" t="inlineStr">
        <is>
          <t>Redlands Cremorne CommunityOSH</t>
        </is>
      </c>
      <c r="C46" t="inlineStr">
        <is>
          <t>CREMORNE</t>
        </is>
      </c>
      <c r="D46" t="inlineStr">
        <is>
          <t>2090</t>
        </is>
      </c>
      <c r="E46" t="n">
        <v>100</v>
      </c>
      <c r="F46" t="inlineStr">
        <is>
          <t>Meeting NQS</t>
        </is>
      </c>
      <c r="G46" t="inlineStr">
        <is>
          <t>No</t>
        </is>
      </c>
      <c r="H46" t="inlineStr">
        <is>
          <t>No</t>
        </is>
      </c>
      <c r="I46" t="inlineStr">
        <is>
          <t>No</t>
        </is>
      </c>
      <c r="J46" t="inlineStr">
        <is>
          <t>Yes</t>
        </is>
      </c>
      <c r="K46">
        <f>IFERROR(VLOOKUP(UPPER(C46),Suburb_LGA_Map!$A:$B,2,FALSE),"")</f>
        <v/>
      </c>
    </row>
    <row r="47">
      <c r="A47" t="inlineStr">
        <is>
          <t>SE-00008243</t>
        </is>
      </c>
      <c r="B47" t="inlineStr">
        <is>
          <t>Little Sails Pre-School</t>
        </is>
      </c>
      <c r="C47" t="inlineStr">
        <is>
          <t>BRIGHTON-LE-SANDS</t>
        </is>
      </c>
      <c r="D47" t="inlineStr">
        <is>
          <t>2216</t>
        </is>
      </c>
      <c r="E47" t="n">
        <v>50</v>
      </c>
      <c r="F47" t="inlineStr">
        <is>
          <t>Meeting NQS</t>
        </is>
      </c>
      <c r="G47" t="inlineStr">
        <is>
          <t>Yes</t>
        </is>
      </c>
      <c r="H47" t="inlineStr">
        <is>
          <t>Yes</t>
        </is>
      </c>
      <c r="I47" t="inlineStr">
        <is>
          <t>No</t>
        </is>
      </c>
      <c r="J47" t="inlineStr">
        <is>
          <t>No</t>
        </is>
      </c>
      <c r="K47">
        <f>IFERROR(VLOOKUP(UPPER(C47),Suburb_LGA_Map!$A:$B,2,FALSE),"")</f>
        <v/>
      </c>
    </row>
    <row r="48">
      <c r="A48" t="inlineStr">
        <is>
          <t>SE-00008283</t>
        </is>
      </c>
      <c r="B48" t="inlineStr">
        <is>
          <t>Bexley Preparatory Early Learning Centre</t>
        </is>
      </c>
      <c r="C48" t="inlineStr">
        <is>
          <t>BEXLEY</t>
        </is>
      </c>
      <c r="D48" t="inlineStr">
        <is>
          <t>2207</t>
        </is>
      </c>
      <c r="E48" t="n">
        <v>16</v>
      </c>
      <c r="F48" t="inlineStr">
        <is>
          <t>Meeting NQS</t>
        </is>
      </c>
      <c r="G48" t="inlineStr">
        <is>
          <t>Yes</t>
        </is>
      </c>
      <c r="H48" t="inlineStr">
        <is>
          <t>No</t>
        </is>
      </c>
      <c r="I48" t="inlineStr">
        <is>
          <t>No</t>
        </is>
      </c>
      <c r="J48" t="inlineStr">
        <is>
          <t>No</t>
        </is>
      </c>
      <c r="K48">
        <f>IFERROR(VLOOKUP(UPPER(C48),Suburb_LGA_Map!$A:$B,2,FALSE),"")</f>
        <v/>
      </c>
    </row>
    <row r="49">
      <c r="A49" t="inlineStr">
        <is>
          <t>SE-40030349</t>
        </is>
      </c>
      <c r="B49" t="inlineStr">
        <is>
          <t>Kinderoos Arncliffe Preschool Campus</t>
        </is>
      </c>
      <c r="C49" t="inlineStr">
        <is>
          <t>ARNCLIFFE</t>
        </is>
      </c>
      <c r="D49" t="inlineStr">
        <is>
          <t>2205</t>
        </is>
      </c>
      <c r="E49" t="n">
        <v>40</v>
      </c>
      <c r="F49" t="inlineStr">
        <is>
          <t>Meeting NQS</t>
        </is>
      </c>
      <c r="G49" t="inlineStr">
        <is>
          <t>Yes</t>
        </is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>
        <f>IFERROR(VLOOKUP(UPPER(C49),Suburb_LGA_Map!$A:$B,2,FALSE),"")</f>
        <v/>
      </c>
    </row>
    <row r="50">
      <c r="A50" t="inlineStr">
        <is>
          <t>SE-40011946</t>
        </is>
      </c>
      <c r="B50" t="inlineStr">
        <is>
          <t>Growing Patch Early Learning Centre</t>
        </is>
      </c>
      <c r="C50" t="inlineStr">
        <is>
          <t>BEXLEY</t>
        </is>
      </c>
      <c r="D50" t="inlineStr">
        <is>
          <t>2207</t>
        </is>
      </c>
      <c r="E50" t="n">
        <v>60</v>
      </c>
      <c r="F50" t="inlineStr">
        <is>
          <t>Meeting NQS</t>
        </is>
      </c>
      <c r="G50" t="inlineStr">
        <is>
          <t>Yes</t>
        </is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>
        <f>IFERROR(VLOOKUP(UPPER(C50),Suburb_LGA_Map!$A:$B,2,FALSE),"")</f>
        <v/>
      </c>
    </row>
    <row r="51">
      <c r="A51" t="inlineStr">
        <is>
          <t>SE-40025294</t>
        </is>
      </c>
      <c r="B51" t="inlineStr">
        <is>
          <t>Heritage House Wahroonga Early Education Centre</t>
        </is>
      </c>
      <c r="C51" t="inlineStr">
        <is>
          <t>WAHROONGA</t>
        </is>
      </c>
      <c r="D51" t="inlineStr">
        <is>
          <t>2076</t>
        </is>
      </c>
      <c r="E51" t="n">
        <v>89</v>
      </c>
      <c r="F51" t="inlineStr">
        <is>
          <t>Meeting NQS</t>
        </is>
      </c>
      <c r="G51" t="inlineStr">
        <is>
          <t>Yes</t>
        </is>
      </c>
      <c r="H51" t="inlineStr">
        <is>
          <t>No</t>
        </is>
      </c>
      <c r="I51" t="inlineStr">
        <is>
          <t>No</t>
        </is>
      </c>
      <c r="J51" t="inlineStr">
        <is>
          <t>No</t>
        </is>
      </c>
      <c r="K51">
        <f>IFERROR(VLOOKUP(UPPER(C51),Suburb_LGA_Map!$A:$B,2,FALSE),"")</f>
        <v/>
      </c>
    </row>
    <row r="52">
      <c r="A52" t="inlineStr">
        <is>
          <t>SE-40025474</t>
        </is>
      </c>
      <c r="B52" t="inlineStr">
        <is>
          <t>Cameragal Montessori School</t>
        </is>
      </c>
      <c r="C52" t="inlineStr">
        <is>
          <t>NORTH SYDNEY</t>
        </is>
      </c>
      <c r="D52" t="inlineStr">
        <is>
          <t>2060</t>
        </is>
      </c>
      <c r="E52" t="n">
        <v>31</v>
      </c>
      <c r="F52" t="inlineStr">
        <is>
          <t>Meeting NQS</t>
        </is>
      </c>
      <c r="G52" t="inlineStr">
        <is>
          <t>No</t>
        </is>
      </c>
      <c r="H52" t="inlineStr">
        <is>
          <t>Yes</t>
        </is>
      </c>
      <c r="I52" t="inlineStr">
        <is>
          <t>No</t>
        </is>
      </c>
      <c r="J52" t="inlineStr">
        <is>
          <t>Yes</t>
        </is>
      </c>
      <c r="K52">
        <f>IFERROR(VLOOKUP(UPPER(C52),Suburb_LGA_Map!$A:$B,2,FALSE),"")</f>
        <v/>
      </c>
    </row>
    <row r="53">
      <c r="A53" t="inlineStr">
        <is>
          <t>SE-00007154</t>
        </is>
      </c>
      <c r="B53" t="inlineStr">
        <is>
          <t>East Lindfield Community Preschool</t>
        </is>
      </c>
      <c r="C53" t="inlineStr">
        <is>
          <t>LINDFIELD</t>
        </is>
      </c>
      <c r="D53" t="inlineStr">
        <is>
          <t>2070</t>
        </is>
      </c>
      <c r="E53" t="n">
        <v>56</v>
      </c>
      <c r="F53" t="inlineStr">
        <is>
          <t>Meeting NQS</t>
        </is>
      </c>
      <c r="G53" t="inlineStr">
        <is>
          <t>No</t>
        </is>
      </c>
      <c r="H53" t="inlineStr">
        <is>
          <t>Yes</t>
        </is>
      </c>
      <c r="I53" t="inlineStr">
        <is>
          <t>No</t>
        </is>
      </c>
      <c r="J53" t="inlineStr">
        <is>
          <t>No</t>
        </is>
      </c>
      <c r="K53">
        <f>IFERROR(VLOOKUP(UPPER(C53),Suburb_LGA_Map!$A:$B,2,FALSE),"")</f>
        <v/>
      </c>
    </row>
    <row r="54">
      <c r="A54" t="inlineStr">
        <is>
          <t>SE-00007160</t>
        </is>
      </c>
      <c r="B54" t="inlineStr">
        <is>
          <t>Eastgardens Kindy</t>
        </is>
      </c>
      <c r="C54" t="inlineStr">
        <is>
          <t>PAGEWOOD</t>
        </is>
      </c>
      <c r="D54" t="inlineStr">
        <is>
          <t>2035</t>
        </is>
      </c>
      <c r="E54" t="n">
        <v>50</v>
      </c>
      <c r="F54" t="inlineStr">
        <is>
          <t>Meeting NQS</t>
        </is>
      </c>
      <c r="G54" t="inlineStr">
        <is>
          <t>Yes</t>
        </is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>
        <f>IFERROR(VLOOKUP(UPPER(C54),Suburb_LGA_Map!$A:$B,2,FALSE),"")</f>
        <v/>
      </c>
    </row>
    <row r="55">
      <c r="A55" t="inlineStr">
        <is>
          <t>SE-40006161</t>
        </is>
      </c>
      <c r="B55" t="inlineStr">
        <is>
          <t>Reddam House Early Learning School Lindfield</t>
        </is>
      </c>
      <c r="C55" t="inlineStr">
        <is>
          <t>LINDFIELD</t>
        </is>
      </c>
      <c r="D55" t="inlineStr">
        <is>
          <t>2070</t>
        </is>
      </c>
      <c r="E55" t="n">
        <v>175</v>
      </c>
      <c r="F55" t="inlineStr">
        <is>
          <t>Exceeding NQS</t>
        </is>
      </c>
      <c r="G55" t="inlineStr">
        <is>
          <t>Yes</t>
        </is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>
        <f>IFERROR(VLOOKUP(UPPER(C55),Suburb_LGA_Map!$A:$B,2,FALSE),"")</f>
        <v/>
      </c>
    </row>
    <row r="56">
      <c r="A56" t="inlineStr">
        <is>
          <t>SE-40006412</t>
        </is>
      </c>
      <c r="B56" t="inlineStr">
        <is>
          <t>Daystars Bardwell Valley</t>
        </is>
      </c>
      <c r="C56" t="inlineStr">
        <is>
          <t>BARDWELL VALLEY</t>
        </is>
      </c>
      <c r="D56" t="inlineStr">
        <is>
          <t>2207</t>
        </is>
      </c>
      <c r="E56" t="n">
        <v>60</v>
      </c>
      <c r="F56" t="inlineStr">
        <is>
          <t>Meeting NQS</t>
        </is>
      </c>
      <c r="G56" t="inlineStr">
        <is>
          <t>Yes</t>
        </is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>
        <f>IFERROR(VLOOKUP(UPPER(C56),Suburb_LGA_Map!$A:$B,2,FALSE),"")</f>
        <v/>
      </c>
    </row>
    <row r="57">
      <c r="A57" t="inlineStr">
        <is>
          <t>SE-00011834</t>
        </is>
      </c>
      <c r="B57" t="inlineStr">
        <is>
          <t>Uniting Wahroonga Prep Outside School Hours Care</t>
        </is>
      </c>
      <c r="C57" t="inlineStr">
        <is>
          <t>WAHROONGA</t>
        </is>
      </c>
      <c r="D57" t="inlineStr">
        <is>
          <t>2076</t>
        </is>
      </c>
      <c r="E57" t="n">
        <v>45</v>
      </c>
      <c r="F57" t="inlineStr">
        <is>
          <t>Meeting NQS</t>
        </is>
      </c>
      <c r="G57" t="inlineStr">
        <is>
          <t>No</t>
        </is>
      </c>
      <c r="H57" t="inlineStr">
        <is>
          <t>No</t>
        </is>
      </c>
      <c r="I57" t="inlineStr">
        <is>
          <t>No</t>
        </is>
      </c>
      <c r="J57" t="inlineStr">
        <is>
          <t>Yes</t>
        </is>
      </c>
      <c r="K57">
        <f>IFERROR(VLOOKUP(UPPER(C57),Suburb_LGA_Map!$A:$B,2,FALSE),"")</f>
        <v/>
      </c>
    </row>
    <row r="58">
      <c r="A58" t="inlineStr">
        <is>
          <t>SE-00011862</t>
        </is>
      </c>
      <c r="B58" t="inlineStr">
        <is>
          <t>Prouille Wahroonga OSHC</t>
        </is>
      </c>
      <c r="C58" t="inlineStr">
        <is>
          <t>WAHROONGA</t>
        </is>
      </c>
      <c r="D58" t="inlineStr">
        <is>
          <t>2076</t>
        </is>
      </c>
      <c r="E58" t="n">
        <v>90</v>
      </c>
      <c r="F58" t="inlineStr">
        <is>
          <t>Meeting NQS</t>
        </is>
      </c>
      <c r="G58" t="inlineStr">
        <is>
          <t>No</t>
        </is>
      </c>
      <c r="H58" t="inlineStr">
        <is>
          <t>No</t>
        </is>
      </c>
      <c r="I58" t="inlineStr">
        <is>
          <t>No</t>
        </is>
      </c>
      <c r="J58" t="inlineStr">
        <is>
          <t>Yes</t>
        </is>
      </c>
      <c r="K58">
        <f>IFERROR(VLOOKUP(UPPER(C58),Suburb_LGA_Map!$A:$B,2,FALSE),"")</f>
        <v/>
      </c>
    </row>
    <row r="59">
      <c r="A59" t="inlineStr">
        <is>
          <t>SE-00011880</t>
        </is>
      </c>
      <c r="B59" t="inlineStr">
        <is>
          <t>Corpus Christi Outside School Hours Care St Ives</t>
        </is>
      </c>
      <c r="C59" t="inlineStr">
        <is>
          <t>ST IVES</t>
        </is>
      </c>
      <c r="D59" t="inlineStr">
        <is>
          <t>2075</t>
        </is>
      </c>
      <c r="E59" t="n">
        <v>50</v>
      </c>
      <c r="F59" t="inlineStr">
        <is>
          <t>Meeting NQS</t>
        </is>
      </c>
      <c r="G59" t="inlineStr">
        <is>
          <t>No</t>
        </is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>
        <f>IFERROR(VLOOKUP(UPPER(C59),Suburb_LGA_Map!$A:$B,2,FALSE),"")</f>
        <v/>
      </c>
    </row>
    <row r="60">
      <c r="A60" t="inlineStr">
        <is>
          <t>SE-00011970</t>
        </is>
      </c>
      <c r="B60" t="inlineStr">
        <is>
          <t>St Ives OSHC</t>
        </is>
      </c>
      <c r="C60" t="inlineStr">
        <is>
          <t>ST IVES</t>
        </is>
      </c>
      <c r="D60" t="inlineStr">
        <is>
          <t>2075</t>
        </is>
      </c>
      <c r="E60" t="n">
        <v>158</v>
      </c>
      <c r="F60" t="inlineStr">
        <is>
          <t>Meeting NQS</t>
        </is>
      </c>
      <c r="G60" t="inlineStr">
        <is>
          <t>No</t>
        </is>
      </c>
      <c r="H60" t="inlineStr">
        <is>
          <t>No</t>
        </is>
      </c>
      <c r="I60" t="inlineStr">
        <is>
          <t>No</t>
        </is>
      </c>
      <c r="J60" t="inlineStr">
        <is>
          <t>Yes</t>
        </is>
      </c>
      <c r="K60">
        <f>IFERROR(VLOOKUP(UPPER(C60),Suburb_LGA_Map!$A:$B,2,FALSE),"")</f>
        <v/>
      </c>
    </row>
    <row r="61">
      <c r="A61" t="inlineStr">
        <is>
          <t>SE-00011986</t>
        </is>
      </c>
      <c r="B61" t="inlineStr">
        <is>
          <t>TeamKids - Turramurra North Public School</t>
        </is>
      </c>
      <c r="C61" t="inlineStr">
        <is>
          <t>NORTH TURRAMURRA</t>
        </is>
      </c>
      <c r="D61" t="inlineStr">
        <is>
          <t>2074</t>
        </is>
      </c>
      <c r="E61" t="n">
        <v>80</v>
      </c>
      <c r="F61" t="inlineStr">
        <is>
          <t>Meeting NQS</t>
        </is>
      </c>
      <c r="G61" t="inlineStr">
        <is>
          <t>No</t>
        </is>
      </c>
      <c r="H61" t="inlineStr">
        <is>
          <t>No</t>
        </is>
      </c>
      <c r="I61" t="inlineStr">
        <is>
          <t>No</t>
        </is>
      </c>
      <c r="J61" t="inlineStr">
        <is>
          <t>Yes</t>
        </is>
      </c>
      <c r="K61">
        <f>IFERROR(VLOOKUP(UPPER(C61),Suburb_LGA_Map!$A:$B,2,FALSE),"")</f>
        <v/>
      </c>
    </row>
    <row r="62">
      <c r="A62" t="inlineStr">
        <is>
          <t>SE-00018531</t>
        </is>
      </c>
      <c r="B62" t="inlineStr">
        <is>
          <t>Early Years School Pymble Ladies' College</t>
        </is>
      </c>
      <c r="C62" t="inlineStr">
        <is>
          <t>PYMBLE</t>
        </is>
      </c>
      <c r="D62" t="inlineStr">
        <is>
          <t>2073</t>
        </is>
      </c>
      <c r="E62" t="n">
        <v>90</v>
      </c>
      <c r="F62" t="inlineStr"/>
      <c r="G62" t="inlineStr">
        <is>
          <t>Yes</t>
        </is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>
        <f>IFERROR(VLOOKUP(UPPER(C62),Suburb_LGA_Map!$A:$B,2,FALSE),"")</f>
        <v/>
      </c>
    </row>
    <row r="63">
      <c r="A63" t="inlineStr">
        <is>
          <t>SE-00018596</t>
        </is>
      </c>
      <c r="B63" t="inlineStr">
        <is>
          <t>The Y Carlton OSHC</t>
        </is>
      </c>
      <c r="C63" t="inlineStr">
        <is>
          <t>BEXLEY</t>
        </is>
      </c>
      <c r="D63" t="inlineStr">
        <is>
          <t>2207</t>
        </is>
      </c>
      <c r="E63" t="n">
        <v>69</v>
      </c>
      <c r="F63" t="inlineStr"/>
      <c r="G63" t="inlineStr">
        <is>
          <t>No</t>
        </is>
      </c>
      <c r="H63" t="inlineStr">
        <is>
          <t>No</t>
        </is>
      </c>
      <c r="I63" t="inlineStr">
        <is>
          <t>No</t>
        </is>
      </c>
      <c r="J63" t="inlineStr">
        <is>
          <t>Yes</t>
        </is>
      </c>
      <c r="K63">
        <f>IFERROR(VLOOKUP(UPPER(C63),Suburb_LGA_Map!$A:$B,2,FALSE),"")</f>
        <v/>
      </c>
    </row>
    <row r="64">
      <c r="A64" t="inlineStr">
        <is>
          <t>SE-00009328</t>
        </is>
      </c>
      <c r="B64" t="inlineStr">
        <is>
          <t>Thomas Carlyle Children's Centre</t>
        </is>
      </c>
      <c r="C64" t="inlineStr">
        <is>
          <t>LINDFIELD</t>
        </is>
      </c>
      <c r="D64" t="inlineStr">
        <is>
          <t>2070</t>
        </is>
      </c>
      <c r="E64" t="n">
        <v>55</v>
      </c>
      <c r="F64" t="inlineStr">
        <is>
          <t>Meeting NQS</t>
        </is>
      </c>
      <c r="G64" t="inlineStr">
        <is>
          <t>Yes</t>
        </is>
      </c>
      <c r="H64" t="inlineStr">
        <is>
          <t>No</t>
        </is>
      </c>
      <c r="I64" t="inlineStr">
        <is>
          <t>No</t>
        </is>
      </c>
      <c r="J64" t="inlineStr">
        <is>
          <t>No</t>
        </is>
      </c>
      <c r="K64">
        <f>IFERROR(VLOOKUP(UPPER(C64),Suburb_LGA_Map!$A:$B,2,FALSE),"")</f>
        <v/>
      </c>
    </row>
    <row r="65">
      <c r="A65" t="inlineStr">
        <is>
          <t>SE-00009405</t>
        </is>
      </c>
      <c r="B65" t="inlineStr">
        <is>
          <t>Tumbling Teddy's Cottage</t>
        </is>
      </c>
      <c r="C65" t="inlineStr">
        <is>
          <t>BEXLEY</t>
        </is>
      </c>
      <c r="D65" t="inlineStr">
        <is>
          <t>2207</t>
        </is>
      </c>
      <c r="E65" t="n">
        <v>29</v>
      </c>
      <c r="F65" t="inlineStr">
        <is>
          <t>Meeting NQS</t>
        </is>
      </c>
      <c r="G65" t="inlineStr">
        <is>
          <t>Yes</t>
        </is>
      </c>
      <c r="H65" t="inlineStr">
        <is>
          <t>No</t>
        </is>
      </c>
      <c r="I65" t="inlineStr">
        <is>
          <t>No</t>
        </is>
      </c>
      <c r="J65" t="inlineStr">
        <is>
          <t>No</t>
        </is>
      </c>
      <c r="K65">
        <f>IFERROR(VLOOKUP(UPPER(C65),Suburb_LGA_Map!$A:$B,2,FALSE),"")</f>
        <v/>
      </c>
    </row>
    <row r="66">
      <c r="A66" t="inlineStr">
        <is>
          <t>SE-00009410</t>
        </is>
      </c>
      <c r="B66" t="inlineStr">
        <is>
          <t>Tennyson Preschool by Handprints</t>
        </is>
      </c>
      <c r="C66" t="inlineStr">
        <is>
          <t>TURRAMURRA</t>
        </is>
      </c>
      <c r="D66" t="inlineStr">
        <is>
          <t>2074</t>
        </is>
      </c>
      <c r="E66" t="n">
        <v>43</v>
      </c>
      <c r="F66" t="inlineStr">
        <is>
          <t>Meeting NQS</t>
        </is>
      </c>
      <c r="G66" t="inlineStr">
        <is>
          <t>Yes</t>
        </is>
      </c>
      <c r="H66" t="inlineStr">
        <is>
          <t>No</t>
        </is>
      </c>
      <c r="I66" t="inlineStr">
        <is>
          <t>No</t>
        </is>
      </c>
      <c r="J66" t="inlineStr">
        <is>
          <t>No</t>
        </is>
      </c>
      <c r="K66">
        <f>IFERROR(VLOOKUP(UPPER(C66),Suburb_LGA_Map!$A:$B,2,FALSE),"")</f>
        <v/>
      </c>
    </row>
    <row r="67">
      <c r="A67" t="inlineStr">
        <is>
          <t>SE-00009411</t>
        </is>
      </c>
      <c r="B67" t="inlineStr">
        <is>
          <t>Bluebird Early Education Bexley</t>
        </is>
      </c>
      <c r="C67" t="inlineStr">
        <is>
          <t>BEXLEY</t>
        </is>
      </c>
      <c r="D67" t="inlineStr">
        <is>
          <t>2207</t>
        </is>
      </c>
      <c r="E67" t="n">
        <v>91</v>
      </c>
      <c r="F67" t="inlineStr">
        <is>
          <t>Meeting NQS</t>
        </is>
      </c>
      <c r="G67" t="inlineStr">
        <is>
          <t>Yes</t>
        </is>
      </c>
      <c r="H67" t="inlineStr">
        <is>
          <t>No</t>
        </is>
      </c>
      <c r="I67" t="inlineStr">
        <is>
          <t>No</t>
        </is>
      </c>
      <c r="J67" t="inlineStr">
        <is>
          <t>No</t>
        </is>
      </c>
      <c r="K67">
        <f>IFERROR(VLOOKUP(UPPER(C67),Suburb_LGA_Map!$A:$B,2,FALSE),"")</f>
        <v/>
      </c>
    </row>
    <row r="68">
      <c r="A68" t="inlineStr">
        <is>
          <t>SE-00013301</t>
        </is>
      </c>
      <c r="B68" t="inlineStr">
        <is>
          <t>Roseville Kids Care</t>
        </is>
      </c>
      <c r="C68" t="inlineStr">
        <is>
          <t>ROSEVILLE</t>
        </is>
      </c>
      <c r="D68" t="inlineStr">
        <is>
          <t>2069</t>
        </is>
      </c>
      <c r="E68" t="n">
        <v>75</v>
      </c>
      <c r="F68" t="inlineStr">
        <is>
          <t>Meeting NQS</t>
        </is>
      </c>
      <c r="G68" t="inlineStr">
        <is>
          <t>No</t>
        </is>
      </c>
      <c r="H68" t="inlineStr">
        <is>
          <t>No</t>
        </is>
      </c>
      <c r="I68" t="inlineStr">
        <is>
          <t>No</t>
        </is>
      </c>
      <c r="J68" t="inlineStr">
        <is>
          <t>Yes</t>
        </is>
      </c>
      <c r="K68">
        <f>IFERROR(VLOOKUP(UPPER(C68),Suburb_LGA_Map!$A:$B,2,FALSE),"")</f>
        <v/>
      </c>
    </row>
    <row r="69">
      <c r="A69" t="inlineStr">
        <is>
          <t>SE-00011417</t>
        </is>
      </c>
      <c r="B69" t="inlineStr">
        <is>
          <t>Warrawee Care Centre</t>
        </is>
      </c>
      <c r="C69" t="inlineStr">
        <is>
          <t>WARRAWEE</t>
        </is>
      </c>
      <c r="D69" t="inlineStr">
        <is>
          <t>2074</t>
        </is>
      </c>
      <c r="E69" t="n">
        <v>300</v>
      </c>
      <c r="F69" t="inlineStr">
        <is>
          <t>Excellent</t>
        </is>
      </c>
      <c r="G69" t="inlineStr">
        <is>
          <t>No</t>
        </is>
      </c>
      <c r="H69" t="inlineStr">
        <is>
          <t>No</t>
        </is>
      </c>
      <c r="I69" t="inlineStr">
        <is>
          <t>No</t>
        </is>
      </c>
      <c r="J69" t="inlineStr">
        <is>
          <t>Yes</t>
        </is>
      </c>
      <c r="K69">
        <f>IFERROR(VLOOKUP(UPPER(C69),Suburb_LGA_Map!$A:$B,2,FALSE),"")</f>
        <v/>
      </c>
    </row>
    <row r="70">
      <c r="A70" t="inlineStr">
        <is>
          <t>SE-00011418</t>
        </is>
      </c>
      <c r="B70" t="inlineStr">
        <is>
          <t>Wahroonga Out of School Hours Care</t>
        </is>
      </c>
      <c r="C70" t="inlineStr">
        <is>
          <t>WAHROONGA</t>
        </is>
      </c>
      <c r="D70" t="inlineStr">
        <is>
          <t>2076</t>
        </is>
      </c>
      <c r="E70" t="n">
        <v>246</v>
      </c>
      <c r="F70" t="inlineStr">
        <is>
          <t>Meeting NQS</t>
        </is>
      </c>
      <c r="G70" t="inlineStr">
        <is>
          <t>No</t>
        </is>
      </c>
      <c r="H70" t="inlineStr">
        <is>
          <t>No</t>
        </is>
      </c>
      <c r="I70" t="inlineStr">
        <is>
          <t>No</t>
        </is>
      </c>
      <c r="J70" t="inlineStr">
        <is>
          <t>Yes</t>
        </is>
      </c>
      <c r="K70">
        <f>IFERROR(VLOOKUP(UPPER(C70),Suburb_LGA_Map!$A:$B,2,FALSE),"")</f>
        <v/>
      </c>
    </row>
    <row r="71">
      <c r="A71" t="inlineStr">
        <is>
          <t>SE-00011421</t>
        </is>
      </c>
      <c r="B71" t="inlineStr">
        <is>
          <t>West Pymble Out of School Care Inc</t>
        </is>
      </c>
      <c r="C71" t="inlineStr">
        <is>
          <t>WEST PYMBLE</t>
        </is>
      </c>
      <c r="D71" t="inlineStr">
        <is>
          <t>2073</t>
        </is>
      </c>
      <c r="E71" t="n">
        <v>100</v>
      </c>
      <c r="F71" t="inlineStr">
        <is>
          <t>Meeting NQS</t>
        </is>
      </c>
      <c r="G71" t="inlineStr">
        <is>
          <t>No</t>
        </is>
      </c>
      <c r="H71" t="inlineStr">
        <is>
          <t>No</t>
        </is>
      </c>
      <c r="I71" t="inlineStr">
        <is>
          <t>No</t>
        </is>
      </c>
      <c r="J71" t="inlineStr">
        <is>
          <t>Yes</t>
        </is>
      </c>
      <c r="K71">
        <f>IFERROR(VLOOKUP(UPPER(C71),Suburb_LGA_Map!$A:$B,2,FALSE),"")</f>
        <v/>
      </c>
    </row>
    <row r="72">
      <c r="A72" t="inlineStr">
        <is>
          <t>SE-00011429</t>
        </is>
      </c>
      <c r="B72" t="inlineStr">
        <is>
          <t>Wenona OSHCLUB</t>
        </is>
      </c>
      <c r="C72" t="inlineStr">
        <is>
          <t>NORTH SYDNEY</t>
        </is>
      </c>
      <c r="D72" t="inlineStr">
        <is>
          <t>2060</t>
        </is>
      </c>
      <c r="E72" t="n">
        <v>44</v>
      </c>
      <c r="F72" t="inlineStr">
        <is>
          <t>Meeting NQS</t>
        </is>
      </c>
      <c r="G72" t="inlineStr">
        <is>
          <t>No</t>
        </is>
      </c>
      <c r="H72" t="inlineStr">
        <is>
          <t>No</t>
        </is>
      </c>
      <c r="I72" t="inlineStr">
        <is>
          <t>No</t>
        </is>
      </c>
      <c r="J72" t="inlineStr">
        <is>
          <t>Yes</t>
        </is>
      </c>
      <c r="K72">
        <f>IFERROR(VLOOKUP(UPPER(C72),Suburb_LGA_Map!$A:$B,2,FALSE),"")</f>
        <v/>
      </c>
    </row>
    <row r="73">
      <c r="A73" t="inlineStr">
        <is>
          <t>SE-00007960</t>
        </is>
      </c>
      <c r="B73" t="inlineStr">
        <is>
          <t>KU Bradfield Park Children's Centre</t>
        </is>
      </c>
      <c r="C73" t="inlineStr">
        <is>
          <t>LINDFIELD</t>
        </is>
      </c>
      <c r="D73" t="inlineStr">
        <is>
          <t>2070</t>
        </is>
      </c>
      <c r="E73" t="n">
        <v>53</v>
      </c>
      <c r="F73" t="inlineStr">
        <is>
          <t>Meeting NQS</t>
        </is>
      </c>
      <c r="G73" t="inlineStr">
        <is>
          <t>Yes</t>
        </is>
      </c>
      <c r="H73" t="inlineStr">
        <is>
          <t>No</t>
        </is>
      </c>
      <c r="I73" t="inlineStr">
        <is>
          <t>No</t>
        </is>
      </c>
      <c r="J73" t="inlineStr">
        <is>
          <t>No</t>
        </is>
      </c>
      <c r="K73">
        <f>IFERROR(VLOOKUP(UPPER(C73),Suburb_LGA_Map!$A:$B,2,FALSE),"")</f>
        <v/>
      </c>
    </row>
    <row r="74">
      <c r="A74" t="inlineStr">
        <is>
          <t>SE-00007982</t>
        </is>
      </c>
      <c r="B74" t="inlineStr">
        <is>
          <t>KU - Fox Valley Preschool</t>
        </is>
      </c>
      <c r="C74" t="inlineStr">
        <is>
          <t>WAHROONGA</t>
        </is>
      </c>
      <c r="D74" t="inlineStr">
        <is>
          <t>2076</t>
        </is>
      </c>
      <c r="E74" t="n">
        <v>30</v>
      </c>
      <c r="F74" t="inlineStr">
        <is>
          <t>Exceeding NQS</t>
        </is>
      </c>
      <c r="G74" t="inlineStr">
        <is>
          <t>No</t>
        </is>
      </c>
      <c r="H74" t="inlineStr">
        <is>
          <t>Yes</t>
        </is>
      </c>
      <c r="I74" t="inlineStr">
        <is>
          <t>No</t>
        </is>
      </c>
      <c r="J74" t="inlineStr">
        <is>
          <t>No</t>
        </is>
      </c>
      <c r="K74">
        <f>IFERROR(VLOOKUP(UPPER(C74),Suburb_LGA_Map!$A:$B,2,FALSE),"")</f>
        <v/>
      </c>
    </row>
    <row r="75">
      <c r="A75" t="inlineStr">
        <is>
          <t>SE-00007988</t>
        </is>
      </c>
      <c r="B75" t="inlineStr">
        <is>
          <t>KU - Grandstand Preschool</t>
        </is>
      </c>
      <c r="C75" t="inlineStr">
        <is>
          <t>NORTH SYDNEY</t>
        </is>
      </c>
      <c r="D75" t="inlineStr">
        <is>
          <t>2060</t>
        </is>
      </c>
      <c r="E75" t="n">
        <v>40</v>
      </c>
      <c r="F75" t="inlineStr">
        <is>
          <t>Meeting NQS</t>
        </is>
      </c>
      <c r="G75" t="inlineStr">
        <is>
          <t>No</t>
        </is>
      </c>
      <c r="H75" t="inlineStr">
        <is>
          <t>Yes</t>
        </is>
      </c>
      <c r="I75" t="inlineStr">
        <is>
          <t>No</t>
        </is>
      </c>
      <c r="J75" t="inlineStr">
        <is>
          <t>No</t>
        </is>
      </c>
      <c r="K75">
        <f>IFERROR(VLOOKUP(UPPER(C75),Suburb_LGA_Map!$A:$B,2,FALSE),"")</f>
        <v/>
      </c>
    </row>
    <row r="76">
      <c r="A76" t="inlineStr">
        <is>
          <t>SE-00007991</t>
        </is>
      </c>
      <c r="B76" t="inlineStr">
        <is>
          <t>KU Greenwood Child Care Centre</t>
        </is>
      </c>
      <c r="C76" t="inlineStr">
        <is>
          <t>NORTH SYDNEY</t>
        </is>
      </c>
      <c r="D76" t="inlineStr">
        <is>
          <t>2060</t>
        </is>
      </c>
      <c r="E76" t="n">
        <v>28</v>
      </c>
      <c r="F76" t="inlineStr">
        <is>
          <t>Exceeding NQS</t>
        </is>
      </c>
      <c r="G76" t="inlineStr">
        <is>
          <t>Yes</t>
        </is>
      </c>
      <c r="H76" t="inlineStr">
        <is>
          <t>No</t>
        </is>
      </c>
      <c r="I76" t="inlineStr">
        <is>
          <t>No</t>
        </is>
      </c>
      <c r="J76" t="inlineStr">
        <is>
          <t>No</t>
        </is>
      </c>
      <c r="K76">
        <f>IFERROR(VLOOKUP(UPPER(C76),Suburb_LGA_Map!$A:$B,2,FALSE),"")</f>
        <v/>
      </c>
    </row>
    <row r="77">
      <c r="A77" t="inlineStr">
        <is>
          <t>SE-00008004</t>
        </is>
      </c>
      <c r="B77" t="inlineStr">
        <is>
          <t>KU - Killara Park Pre-school</t>
        </is>
      </c>
      <c r="C77" t="inlineStr">
        <is>
          <t>KILLARA</t>
        </is>
      </c>
      <c r="D77" t="inlineStr">
        <is>
          <t>2071</t>
        </is>
      </c>
      <c r="E77" t="n">
        <v>40</v>
      </c>
      <c r="F77" t="inlineStr">
        <is>
          <t>Exceeding NQS</t>
        </is>
      </c>
      <c r="G77" t="inlineStr">
        <is>
          <t>No</t>
        </is>
      </c>
      <c r="H77" t="inlineStr">
        <is>
          <t>Yes</t>
        </is>
      </c>
      <c r="I77" t="inlineStr">
        <is>
          <t>No</t>
        </is>
      </c>
      <c r="J77" t="inlineStr">
        <is>
          <t>No</t>
        </is>
      </c>
      <c r="K77">
        <f>IFERROR(VLOOKUP(UPPER(C77),Suburb_LGA_Map!$A:$B,2,FALSE),"")</f>
        <v/>
      </c>
    </row>
    <row r="78">
      <c r="A78" t="inlineStr">
        <is>
          <t>SE-00008044</t>
        </is>
      </c>
      <c r="B78" t="inlineStr">
        <is>
          <t>KU - South Turramurra Preschool</t>
        </is>
      </c>
      <c r="C78" t="inlineStr">
        <is>
          <t>TURRAMURRA</t>
        </is>
      </c>
      <c r="D78" t="inlineStr">
        <is>
          <t>2074</t>
        </is>
      </c>
      <c r="E78" t="n">
        <v>35</v>
      </c>
      <c r="F78" t="inlineStr">
        <is>
          <t>Exceeding NQS</t>
        </is>
      </c>
      <c r="G78" t="inlineStr">
        <is>
          <t>No</t>
        </is>
      </c>
      <c r="H78" t="inlineStr">
        <is>
          <t>Yes</t>
        </is>
      </c>
      <c r="I78" t="inlineStr">
        <is>
          <t>No</t>
        </is>
      </c>
      <c r="J78" t="inlineStr">
        <is>
          <t>No</t>
        </is>
      </c>
      <c r="K78">
        <f>IFERROR(VLOOKUP(UPPER(C78),Suburb_LGA_Map!$A:$B,2,FALSE),"")</f>
        <v/>
      </c>
    </row>
    <row r="79">
      <c r="A79" t="inlineStr">
        <is>
          <t>SE-00008046</t>
        </is>
      </c>
      <c r="B79" t="inlineStr">
        <is>
          <t>KU - St Ives Barra-Brui Pre-school</t>
        </is>
      </c>
      <c r="C79" t="inlineStr">
        <is>
          <t>ST IVES</t>
        </is>
      </c>
      <c r="D79" t="inlineStr">
        <is>
          <t>2075</t>
        </is>
      </c>
      <c r="E79" t="n">
        <v>40</v>
      </c>
      <c r="F79" t="inlineStr">
        <is>
          <t>Exceeding NQS</t>
        </is>
      </c>
      <c r="G79" t="inlineStr">
        <is>
          <t>No</t>
        </is>
      </c>
      <c r="H79" t="inlineStr">
        <is>
          <t>Yes</t>
        </is>
      </c>
      <c r="I79" t="inlineStr">
        <is>
          <t>No</t>
        </is>
      </c>
      <c r="J79" t="inlineStr">
        <is>
          <t>No</t>
        </is>
      </c>
      <c r="K79">
        <f>IFERROR(VLOOKUP(UPPER(C79),Suburb_LGA_Map!$A:$B,2,FALSE),"")</f>
        <v/>
      </c>
    </row>
    <row r="80">
      <c r="A80" t="inlineStr">
        <is>
          <t>SE-00008050</t>
        </is>
      </c>
      <c r="B80" t="inlineStr">
        <is>
          <t>KU - The Chase Preschool</t>
        </is>
      </c>
      <c r="C80" t="inlineStr">
        <is>
          <t>ROSEVILLE CHASE</t>
        </is>
      </c>
      <c r="D80" t="inlineStr">
        <is>
          <t>2069</t>
        </is>
      </c>
      <c r="E80" t="n">
        <v>40</v>
      </c>
      <c r="F80" t="inlineStr">
        <is>
          <t>Exceeding NQS</t>
        </is>
      </c>
      <c r="G80" t="inlineStr">
        <is>
          <t>No</t>
        </is>
      </c>
      <c r="H80" t="inlineStr">
        <is>
          <t>Yes</t>
        </is>
      </c>
      <c r="I80" t="inlineStr">
        <is>
          <t>No</t>
        </is>
      </c>
      <c r="J80" t="inlineStr">
        <is>
          <t>No</t>
        </is>
      </c>
      <c r="K80">
        <f>IFERROR(VLOOKUP(UPPER(C80),Suburb_LGA_Map!$A:$B,2,FALSE),"")</f>
        <v/>
      </c>
    </row>
    <row r="81">
      <c r="A81" t="inlineStr">
        <is>
          <t>SE-00008054</t>
        </is>
      </c>
      <c r="B81" t="inlineStr">
        <is>
          <t>KU - Wahroonga Preschool</t>
        </is>
      </c>
      <c r="C81" t="inlineStr">
        <is>
          <t>WAHROONGA</t>
        </is>
      </c>
      <c r="D81" t="inlineStr">
        <is>
          <t>2076</t>
        </is>
      </c>
      <c r="E81" t="n">
        <v>40</v>
      </c>
      <c r="F81" t="inlineStr">
        <is>
          <t>Exceeding NQS</t>
        </is>
      </c>
      <c r="G81" t="inlineStr">
        <is>
          <t>No</t>
        </is>
      </c>
      <c r="H81" t="inlineStr">
        <is>
          <t>Yes</t>
        </is>
      </c>
      <c r="I81" t="inlineStr">
        <is>
          <t>No</t>
        </is>
      </c>
      <c r="J81" t="inlineStr">
        <is>
          <t>No</t>
        </is>
      </c>
      <c r="K81">
        <f>IFERROR(VLOOKUP(UPPER(C81),Suburb_LGA_Map!$A:$B,2,FALSE),"")</f>
        <v/>
      </c>
    </row>
    <row r="82">
      <c r="A82" t="inlineStr">
        <is>
          <t>SE-00008058</t>
        </is>
      </c>
      <c r="B82" t="inlineStr">
        <is>
          <t>KU - West Pymble Preschool</t>
        </is>
      </c>
      <c r="C82" t="inlineStr">
        <is>
          <t>PYMBLE</t>
        </is>
      </c>
      <c r="D82" t="inlineStr">
        <is>
          <t>2073</t>
        </is>
      </c>
      <c r="E82" t="n">
        <v>50</v>
      </c>
      <c r="F82" t="inlineStr">
        <is>
          <t>Exceeding NQS</t>
        </is>
      </c>
      <c r="G82" t="inlineStr">
        <is>
          <t>No</t>
        </is>
      </c>
      <c r="H82" t="inlineStr">
        <is>
          <t>Yes</t>
        </is>
      </c>
      <c r="I82" t="inlineStr">
        <is>
          <t>No</t>
        </is>
      </c>
      <c r="J82" t="inlineStr">
        <is>
          <t>No</t>
        </is>
      </c>
      <c r="K82">
        <f>IFERROR(VLOOKUP(UPPER(C82),Suburb_LGA_Map!$A:$B,2,FALSE),"")</f>
        <v/>
      </c>
    </row>
    <row r="83">
      <c r="A83" t="inlineStr">
        <is>
          <t>SE-00016848</t>
        </is>
      </c>
      <c r="B83" t="inlineStr">
        <is>
          <t>Little Gems Early Learning Centre Kingsgrove</t>
        </is>
      </c>
      <c r="C83" t="inlineStr">
        <is>
          <t>KINGSGROVE</t>
        </is>
      </c>
      <c r="D83" t="inlineStr">
        <is>
          <t>2208</t>
        </is>
      </c>
      <c r="E83" t="n">
        <v>25</v>
      </c>
      <c r="F83" t="inlineStr">
        <is>
          <t>Meeting NQS</t>
        </is>
      </c>
      <c r="G83" t="inlineStr">
        <is>
          <t>Yes</t>
        </is>
      </c>
      <c r="H83" t="inlineStr">
        <is>
          <t>No</t>
        </is>
      </c>
      <c r="I83" t="inlineStr">
        <is>
          <t>No</t>
        </is>
      </c>
      <c r="J83" t="inlineStr">
        <is>
          <t>No</t>
        </is>
      </c>
      <c r="K83">
        <f>IFERROR(VLOOKUP(UPPER(C83),Suburb_LGA_Map!$A:$B,2,FALSE),"")</f>
        <v/>
      </c>
    </row>
    <row r="84">
      <c r="A84" t="inlineStr">
        <is>
          <t>SE-40010428</t>
        </is>
      </c>
      <c r="B84" t="inlineStr">
        <is>
          <t>Curious Minds Early Learning Centre Crows Nest</t>
        </is>
      </c>
      <c r="C84" t="inlineStr">
        <is>
          <t>CROWS NEST</t>
        </is>
      </c>
      <c r="D84" t="inlineStr">
        <is>
          <t>2065</t>
        </is>
      </c>
      <c r="E84" t="n">
        <v>14</v>
      </c>
      <c r="F84" t="inlineStr">
        <is>
          <t>Meeting NQS</t>
        </is>
      </c>
      <c r="G84" t="inlineStr">
        <is>
          <t>Yes</t>
        </is>
      </c>
      <c r="H84" t="inlineStr">
        <is>
          <t>No</t>
        </is>
      </c>
      <c r="I84" t="inlineStr">
        <is>
          <t>No</t>
        </is>
      </c>
      <c r="J84" t="inlineStr">
        <is>
          <t>No</t>
        </is>
      </c>
      <c r="K84">
        <f>IFERROR(VLOOKUP(UPPER(C84),Suburb_LGA_Map!$A:$B,2,FALSE),"")</f>
        <v/>
      </c>
    </row>
    <row r="85">
      <c r="A85" t="inlineStr">
        <is>
          <t>SE-40010431</t>
        </is>
      </c>
      <c r="B85" t="inlineStr">
        <is>
          <t>KCS OSHC Kyeemagh</t>
        </is>
      </c>
      <c r="C85" t="inlineStr">
        <is>
          <t>KYEEMAGH</t>
        </is>
      </c>
      <c r="D85" t="inlineStr">
        <is>
          <t>2216</t>
        </is>
      </c>
      <c r="E85" t="n">
        <v>55</v>
      </c>
      <c r="F85" t="inlineStr">
        <is>
          <t>Exceeding NQS</t>
        </is>
      </c>
      <c r="G85" t="inlineStr">
        <is>
          <t>No</t>
        </is>
      </c>
      <c r="H85" t="inlineStr">
        <is>
          <t>No</t>
        </is>
      </c>
      <c r="I85" t="inlineStr">
        <is>
          <t>No</t>
        </is>
      </c>
      <c r="J85" t="inlineStr">
        <is>
          <t>Yes</t>
        </is>
      </c>
      <c r="K85">
        <f>IFERROR(VLOOKUP(UPPER(C85),Suburb_LGA_Map!$A:$B,2,FALSE),"")</f>
        <v/>
      </c>
    </row>
    <row r="86">
      <c r="A86" t="inlineStr">
        <is>
          <t>SE-40010489</t>
        </is>
      </c>
      <c r="B86" t="inlineStr">
        <is>
          <t>Holy Family Outside School Hours Care Lindfield</t>
        </is>
      </c>
      <c r="C86" t="inlineStr">
        <is>
          <t>LINDFIELD</t>
        </is>
      </c>
      <c r="D86" t="inlineStr">
        <is>
          <t>2070</t>
        </is>
      </c>
      <c r="E86" t="n">
        <v>120</v>
      </c>
      <c r="F86" t="inlineStr">
        <is>
          <t>Meeting NQS</t>
        </is>
      </c>
      <c r="G86" t="inlineStr">
        <is>
          <t>No</t>
        </is>
      </c>
      <c r="H86" t="inlineStr">
        <is>
          <t>No</t>
        </is>
      </c>
      <c r="I86" t="inlineStr">
        <is>
          <t>No</t>
        </is>
      </c>
      <c r="J86" t="inlineStr">
        <is>
          <t>Yes</t>
        </is>
      </c>
      <c r="K86">
        <f>IFERROR(VLOOKUP(UPPER(C86),Suburb_LGA_Map!$A:$B,2,FALSE),"")</f>
        <v/>
      </c>
    </row>
    <row r="87">
      <c r="A87" t="inlineStr">
        <is>
          <t>SE-40010499</t>
        </is>
      </c>
      <c r="B87" t="inlineStr">
        <is>
          <t>Mini Masterminds- Brighton Le Sands</t>
        </is>
      </c>
      <c r="C87" t="inlineStr">
        <is>
          <t>BRIGHTON-LE-SANDS</t>
        </is>
      </c>
      <c r="D87" t="inlineStr">
        <is>
          <t>2216</t>
        </is>
      </c>
      <c r="E87" t="n">
        <v>51</v>
      </c>
      <c r="F87" t="inlineStr">
        <is>
          <t>Meeting NQS</t>
        </is>
      </c>
      <c r="G87" t="inlineStr">
        <is>
          <t>Yes</t>
        </is>
      </c>
      <c r="H87" t="inlineStr">
        <is>
          <t>No</t>
        </is>
      </c>
      <c r="I87" t="inlineStr">
        <is>
          <t>No</t>
        </is>
      </c>
      <c r="J87" t="inlineStr">
        <is>
          <t>No</t>
        </is>
      </c>
      <c r="K87">
        <f>IFERROR(VLOOKUP(UPPER(C87),Suburb_LGA_Map!$A:$B,2,FALSE),"")</f>
        <v/>
      </c>
    </row>
    <row r="88">
      <c r="A88" t="inlineStr">
        <is>
          <t>SE-40010503</t>
        </is>
      </c>
      <c r="B88" t="inlineStr">
        <is>
          <t>Fit Kidz Learning Centre Warrawee</t>
        </is>
      </c>
      <c r="C88" t="inlineStr">
        <is>
          <t>WARRAWEE</t>
        </is>
      </c>
      <c r="D88" t="inlineStr">
        <is>
          <t>2074</t>
        </is>
      </c>
      <c r="E88" t="n">
        <v>88</v>
      </c>
      <c r="F88" t="inlineStr">
        <is>
          <t>Exceeding NQS</t>
        </is>
      </c>
      <c r="G88" t="inlineStr">
        <is>
          <t>Yes</t>
        </is>
      </c>
      <c r="H88" t="inlineStr">
        <is>
          <t>No</t>
        </is>
      </c>
      <c r="I88" t="inlineStr">
        <is>
          <t>No</t>
        </is>
      </c>
      <c r="J88" t="inlineStr">
        <is>
          <t>No</t>
        </is>
      </c>
      <c r="K88">
        <f>IFERROR(VLOOKUP(UPPER(C88),Suburb_LGA_Map!$A:$B,2,FALSE),"")</f>
        <v/>
      </c>
    </row>
    <row r="89">
      <c r="A89" t="inlineStr">
        <is>
          <t>SE-40010586</t>
        </is>
      </c>
      <c r="B89" t="inlineStr">
        <is>
          <t>Little Bees Childcare Rosebery</t>
        </is>
      </c>
      <c r="C89" t="inlineStr">
        <is>
          <t>ROSEBERY</t>
        </is>
      </c>
      <c r="D89" t="inlineStr">
        <is>
          <t>2018</t>
        </is>
      </c>
      <c r="E89" t="n">
        <v>80</v>
      </c>
      <c r="F89" t="inlineStr">
        <is>
          <t>Meeting NQS</t>
        </is>
      </c>
      <c r="G89" t="inlineStr">
        <is>
          <t>Yes</t>
        </is>
      </c>
      <c r="H89" t="inlineStr">
        <is>
          <t>No</t>
        </is>
      </c>
      <c r="I89" t="inlineStr">
        <is>
          <t>No</t>
        </is>
      </c>
      <c r="J89" t="inlineStr">
        <is>
          <t>No</t>
        </is>
      </c>
      <c r="K89">
        <f>IFERROR(VLOOKUP(UPPER(C89),Suburb_LGA_Map!$A:$B,2,FALSE),"")</f>
        <v/>
      </c>
    </row>
    <row r="90">
      <c r="A90" t="inlineStr">
        <is>
          <t>SE-40020411</t>
        </is>
      </c>
      <c r="B90" t="inlineStr">
        <is>
          <t>The Love Heart Early Education Centre</t>
        </is>
      </c>
      <c r="C90" t="inlineStr">
        <is>
          <t>TURRAMURRA</t>
        </is>
      </c>
      <c r="D90" t="inlineStr">
        <is>
          <t>2074</t>
        </is>
      </c>
      <c r="E90" t="n">
        <v>43</v>
      </c>
      <c r="F90" t="inlineStr">
        <is>
          <t>Meeting NQS</t>
        </is>
      </c>
      <c r="G90" t="inlineStr">
        <is>
          <t>Yes</t>
        </is>
      </c>
      <c r="H90" t="inlineStr">
        <is>
          <t>No</t>
        </is>
      </c>
      <c r="I90" t="inlineStr">
        <is>
          <t>No</t>
        </is>
      </c>
      <c r="J90" t="inlineStr">
        <is>
          <t>No</t>
        </is>
      </c>
      <c r="K90">
        <f>IFERROR(VLOOKUP(UPPER(C90),Suburb_LGA_Map!$A:$B,2,FALSE),"")</f>
        <v/>
      </c>
    </row>
    <row r="91">
      <c r="A91" t="inlineStr">
        <is>
          <t>SE-00009065</t>
        </is>
      </c>
      <c r="B91" t="inlineStr">
        <is>
          <t>St Ives Chase Kindergarten</t>
        </is>
      </c>
      <c r="C91" t="inlineStr">
        <is>
          <t>ST IVES</t>
        </is>
      </c>
      <c r="D91" t="inlineStr">
        <is>
          <t>2075</t>
        </is>
      </c>
      <c r="E91" t="n">
        <v>40</v>
      </c>
      <c r="F91" t="inlineStr">
        <is>
          <t>Meeting NQS</t>
        </is>
      </c>
      <c r="G91" t="inlineStr">
        <is>
          <t>Yes</t>
        </is>
      </c>
      <c r="H91" t="inlineStr">
        <is>
          <t>Yes</t>
        </is>
      </c>
      <c r="I91" t="inlineStr">
        <is>
          <t>No</t>
        </is>
      </c>
      <c r="J91" t="inlineStr">
        <is>
          <t>No</t>
        </is>
      </c>
      <c r="K91">
        <f>IFERROR(VLOOKUP(UPPER(C91),Suburb_LGA_Map!$A:$B,2,FALSE),"")</f>
        <v/>
      </c>
    </row>
    <row r="92">
      <c r="A92" t="inlineStr">
        <is>
          <t>SE-00009066</t>
        </is>
      </c>
      <c r="B92" t="inlineStr">
        <is>
          <t>St Ives Preschool Kindergarten</t>
        </is>
      </c>
      <c r="C92" t="inlineStr">
        <is>
          <t>ST IVES</t>
        </is>
      </c>
      <c r="D92" t="inlineStr">
        <is>
          <t>2075</t>
        </is>
      </c>
      <c r="E92" t="n">
        <v>40</v>
      </c>
      <c r="F92" t="inlineStr">
        <is>
          <t>Exceeding NQS</t>
        </is>
      </c>
      <c r="G92" t="inlineStr">
        <is>
          <t>No</t>
        </is>
      </c>
      <c r="H92" t="inlineStr">
        <is>
          <t>Yes</t>
        </is>
      </c>
      <c r="I92" t="inlineStr">
        <is>
          <t>No</t>
        </is>
      </c>
      <c r="J92" t="inlineStr">
        <is>
          <t>No</t>
        </is>
      </c>
      <c r="K92">
        <f>IFERROR(VLOOKUP(UPPER(C92),Suburb_LGA_Map!$A:$B,2,FALSE),"")</f>
        <v/>
      </c>
    </row>
    <row r="93">
      <c r="A93" t="inlineStr">
        <is>
          <t>SE-00009068</t>
        </is>
      </c>
      <c r="B93" t="inlineStr">
        <is>
          <t>St Johns Child Care Centre</t>
        </is>
      </c>
      <c r="C93" t="inlineStr">
        <is>
          <t>NEUTRAL BAY</t>
        </is>
      </c>
      <c r="D93" t="inlineStr">
        <is>
          <t>2089</t>
        </is>
      </c>
      <c r="E93" t="n">
        <v>44</v>
      </c>
      <c r="F93" t="inlineStr">
        <is>
          <t>Meeting NQS</t>
        </is>
      </c>
      <c r="G93" t="inlineStr">
        <is>
          <t>Yes</t>
        </is>
      </c>
      <c r="H93" t="inlineStr">
        <is>
          <t>No</t>
        </is>
      </c>
      <c r="I93" t="inlineStr">
        <is>
          <t>No</t>
        </is>
      </c>
      <c r="J93" t="inlineStr">
        <is>
          <t>No</t>
        </is>
      </c>
      <c r="K93">
        <f>IFERROR(VLOOKUP(UPPER(C93),Suburb_LGA_Map!$A:$B,2,FALSE),"")</f>
        <v/>
      </c>
    </row>
    <row r="94">
      <c r="A94" t="inlineStr">
        <is>
          <t>SE-00009083</t>
        </is>
      </c>
      <c r="B94" t="inlineStr">
        <is>
          <t>Integricare Brighton Le Sands</t>
        </is>
      </c>
      <c r="C94" t="inlineStr">
        <is>
          <t>BRIGHTON-LE-SANDS</t>
        </is>
      </c>
      <c r="D94" t="inlineStr">
        <is>
          <t>2216</t>
        </is>
      </c>
      <c r="E94" t="n">
        <v>24</v>
      </c>
      <c r="F94" t="inlineStr">
        <is>
          <t>Meeting NQS</t>
        </is>
      </c>
      <c r="G94" t="inlineStr">
        <is>
          <t>No</t>
        </is>
      </c>
      <c r="H94" t="inlineStr">
        <is>
          <t>Yes</t>
        </is>
      </c>
      <c r="I94" t="inlineStr">
        <is>
          <t>No</t>
        </is>
      </c>
      <c r="J94" t="inlineStr">
        <is>
          <t>No</t>
        </is>
      </c>
      <c r="K94">
        <f>IFERROR(VLOOKUP(UPPER(C94),Suburb_LGA_Map!$A:$B,2,FALSE),"")</f>
        <v/>
      </c>
    </row>
    <row r="95">
      <c r="A95" t="inlineStr">
        <is>
          <t>SE-00009102</t>
        </is>
      </c>
      <c r="B95" t="inlineStr">
        <is>
          <t>St Mary's Day Care Centre</t>
        </is>
      </c>
      <c r="C95" t="inlineStr">
        <is>
          <t>BEXLEY</t>
        </is>
      </c>
      <c r="D95" t="inlineStr">
        <is>
          <t>2207</t>
        </is>
      </c>
      <c r="E95" t="n">
        <v>25</v>
      </c>
      <c r="F95" t="inlineStr">
        <is>
          <t>Exceeding NQS</t>
        </is>
      </c>
      <c r="G95" t="inlineStr">
        <is>
          <t>Yes</t>
        </is>
      </c>
      <c r="H95" t="inlineStr">
        <is>
          <t>No</t>
        </is>
      </c>
      <c r="I95" t="inlineStr">
        <is>
          <t>No</t>
        </is>
      </c>
      <c r="J95" t="inlineStr">
        <is>
          <t>No</t>
        </is>
      </c>
      <c r="K95">
        <f>IFERROR(VLOOKUP(UPPER(C95),Suburb_LGA_Map!$A:$B,2,FALSE),"")</f>
        <v/>
      </c>
    </row>
    <row r="96">
      <c r="A96" t="inlineStr">
        <is>
          <t>SE-00009125</t>
        </is>
      </c>
      <c r="B96" t="inlineStr">
        <is>
          <t>St Thomas Preschool</t>
        </is>
      </c>
      <c r="C96" t="inlineStr">
        <is>
          <t>NORTH SYDNEY</t>
        </is>
      </c>
      <c r="D96" t="inlineStr">
        <is>
          <t>2060</t>
        </is>
      </c>
      <c r="E96" t="n">
        <v>27</v>
      </c>
      <c r="F96" t="inlineStr">
        <is>
          <t>Meeting NQS</t>
        </is>
      </c>
      <c r="G96" t="inlineStr">
        <is>
          <t>No</t>
        </is>
      </c>
      <c r="H96" t="inlineStr">
        <is>
          <t>Yes</t>
        </is>
      </c>
      <c r="I96" t="inlineStr">
        <is>
          <t>No</t>
        </is>
      </c>
      <c r="J96" t="inlineStr">
        <is>
          <t>No</t>
        </is>
      </c>
      <c r="K96">
        <f>IFERROR(VLOOKUP(UPPER(C96),Suburb_LGA_Map!$A:$B,2,FALSE),"")</f>
        <v/>
      </c>
    </row>
    <row r="97">
      <c r="A97" t="inlineStr">
        <is>
          <t>SE-00009146</t>
        </is>
      </c>
      <c r="B97" t="inlineStr">
        <is>
          <t>Stepping Stones Early Learning Centre, Bexley</t>
        </is>
      </c>
      <c r="C97" t="inlineStr">
        <is>
          <t>BEXLEY</t>
        </is>
      </c>
      <c r="D97" t="inlineStr">
        <is>
          <t>2207</t>
        </is>
      </c>
      <c r="E97" t="n">
        <v>44</v>
      </c>
      <c r="F97" t="inlineStr">
        <is>
          <t>Exceeding NQS</t>
        </is>
      </c>
      <c r="G97" t="inlineStr">
        <is>
          <t>Yes</t>
        </is>
      </c>
      <c r="H97" t="inlineStr">
        <is>
          <t>No</t>
        </is>
      </c>
      <c r="I97" t="inlineStr">
        <is>
          <t>No</t>
        </is>
      </c>
      <c r="J97" t="inlineStr">
        <is>
          <t>No</t>
        </is>
      </c>
      <c r="K97">
        <f>IFERROR(VLOOKUP(UPPER(C97),Suburb_LGA_Map!$A:$B,2,FALSE),"")</f>
        <v/>
      </c>
    </row>
    <row r="98">
      <c r="A98" t="inlineStr">
        <is>
          <t>SE-00018295</t>
        </is>
      </c>
      <c r="B98" t="inlineStr">
        <is>
          <t>TeamKids - North Sydney Public School</t>
        </is>
      </c>
      <c r="C98" t="inlineStr">
        <is>
          <t>NORTH SYDNEY</t>
        </is>
      </c>
      <c r="D98" t="inlineStr">
        <is>
          <t>2060</t>
        </is>
      </c>
      <c r="E98" t="n">
        <v>228</v>
      </c>
      <c r="F98" t="inlineStr"/>
      <c r="G98" t="inlineStr">
        <is>
          <t>No</t>
        </is>
      </c>
      <c r="H98" t="inlineStr">
        <is>
          <t>No</t>
        </is>
      </c>
      <c r="I98" t="inlineStr">
        <is>
          <t>No</t>
        </is>
      </c>
      <c r="J98" t="inlineStr">
        <is>
          <t>Yes</t>
        </is>
      </c>
      <c r="K98">
        <f>IFERROR(VLOOKUP(UPPER(C98),Suburb_LGA_Map!$A:$B,2,FALSE),"")</f>
        <v/>
      </c>
    </row>
    <row r="99">
      <c r="A99" t="inlineStr">
        <is>
          <t>SE-40015797</t>
        </is>
      </c>
      <c r="B99" t="inlineStr">
        <is>
          <t>The Love Heart Early Education Centre St Ives Chase</t>
        </is>
      </c>
      <c r="C99" t="inlineStr">
        <is>
          <t>ST IVES CHASE</t>
        </is>
      </c>
      <c r="D99" t="inlineStr">
        <is>
          <t>2075</t>
        </is>
      </c>
      <c r="E99" t="n">
        <v>43</v>
      </c>
      <c r="F99" t="inlineStr">
        <is>
          <t>Meeting NQS</t>
        </is>
      </c>
      <c r="G99" t="inlineStr">
        <is>
          <t>Yes</t>
        </is>
      </c>
      <c r="H99" t="inlineStr">
        <is>
          <t>No</t>
        </is>
      </c>
      <c r="I99" t="inlineStr">
        <is>
          <t>No</t>
        </is>
      </c>
      <c r="J99" t="inlineStr">
        <is>
          <t>No</t>
        </is>
      </c>
      <c r="K99">
        <f>IFERROR(VLOOKUP(UPPER(C99),Suburb_LGA_Map!$A:$B,2,FALSE),"")</f>
        <v/>
      </c>
    </row>
    <row r="100">
      <c r="A100" t="inlineStr">
        <is>
          <t>SE-40015836</t>
        </is>
      </c>
      <c r="B100" t="inlineStr">
        <is>
          <t>Handprints Turramurra</t>
        </is>
      </c>
      <c r="C100" t="inlineStr">
        <is>
          <t>TURRAMURRA</t>
        </is>
      </c>
      <c r="D100" t="inlineStr">
        <is>
          <t>2074</t>
        </is>
      </c>
      <c r="E100" t="n">
        <v>48</v>
      </c>
      <c r="F100" t="inlineStr">
        <is>
          <t>Exceeding NQS</t>
        </is>
      </c>
      <c r="G100" t="inlineStr">
        <is>
          <t>Yes</t>
        </is>
      </c>
      <c r="H100" t="inlineStr">
        <is>
          <t>No</t>
        </is>
      </c>
      <c r="I100" t="inlineStr">
        <is>
          <t>No</t>
        </is>
      </c>
      <c r="J100" t="inlineStr">
        <is>
          <t>No</t>
        </is>
      </c>
      <c r="K100">
        <f>IFERROR(VLOOKUP(UPPER(C100),Suburb_LGA_Map!$A:$B,2,FALSE),"")</f>
        <v/>
      </c>
    </row>
    <row r="101">
      <c r="A101" t="inlineStr">
        <is>
          <t>SE-40015969</t>
        </is>
      </c>
      <c r="B101" t="inlineStr">
        <is>
          <t>Bluebird Early Education Roseville</t>
        </is>
      </c>
      <c r="C101" t="inlineStr">
        <is>
          <t>ROSEVILLE</t>
        </is>
      </c>
      <c r="D101" t="inlineStr">
        <is>
          <t>2069</t>
        </is>
      </c>
      <c r="E101" t="n">
        <v>100</v>
      </c>
      <c r="F101" t="inlineStr">
        <is>
          <t>Meeting NQS</t>
        </is>
      </c>
      <c r="G101" t="inlineStr">
        <is>
          <t>Yes</t>
        </is>
      </c>
      <c r="H101" t="inlineStr">
        <is>
          <t>No</t>
        </is>
      </c>
      <c r="I101" t="inlineStr">
        <is>
          <t>No</t>
        </is>
      </c>
      <c r="J101" t="inlineStr">
        <is>
          <t>No</t>
        </is>
      </c>
      <c r="K101">
        <f>IFERROR(VLOOKUP(UPPER(C101),Suburb_LGA_Map!$A:$B,2,FALSE),"")</f>
        <v/>
      </c>
    </row>
    <row r="102">
      <c r="A102" t="inlineStr">
        <is>
          <t>SE-40016135</t>
        </is>
      </c>
      <c r="B102" t="inlineStr">
        <is>
          <t>Crows Nest Montessori Academy</t>
        </is>
      </c>
      <c r="C102" t="inlineStr">
        <is>
          <t>CROWS NEST</t>
        </is>
      </c>
      <c r="D102" t="inlineStr">
        <is>
          <t>2065</t>
        </is>
      </c>
      <c r="E102" t="n">
        <v>75</v>
      </c>
      <c r="F102" t="inlineStr">
        <is>
          <t>Meeting NQS</t>
        </is>
      </c>
      <c r="G102" t="inlineStr">
        <is>
          <t>Yes</t>
        </is>
      </c>
      <c r="H102" t="inlineStr">
        <is>
          <t>No</t>
        </is>
      </c>
      <c r="I102" t="inlineStr">
        <is>
          <t>No</t>
        </is>
      </c>
      <c r="J102" t="inlineStr">
        <is>
          <t>No</t>
        </is>
      </c>
      <c r="K102">
        <f>IFERROR(VLOOKUP(UPPER(C102),Suburb_LGA_Map!$A:$B,2,FALSE),"")</f>
        <v/>
      </c>
    </row>
    <row r="103">
      <c r="A103" t="inlineStr">
        <is>
          <t>SE-00011449</t>
        </is>
      </c>
      <c r="B103" t="inlineStr">
        <is>
          <t>Neutral Bay OOSH Incorporated</t>
        </is>
      </c>
      <c r="C103" t="inlineStr">
        <is>
          <t>NEUTRAL BAY</t>
        </is>
      </c>
      <c r="D103" t="inlineStr">
        <is>
          <t>2089</t>
        </is>
      </c>
      <c r="E103" t="n">
        <v>300</v>
      </c>
      <c r="F103" t="inlineStr">
        <is>
          <t>Meeting NQS</t>
        </is>
      </c>
      <c r="G103" t="inlineStr">
        <is>
          <t>No</t>
        </is>
      </c>
      <c r="H103" t="inlineStr">
        <is>
          <t>No</t>
        </is>
      </c>
      <c r="I103" t="inlineStr">
        <is>
          <t>No</t>
        </is>
      </c>
      <c r="J103" t="inlineStr">
        <is>
          <t>Yes</t>
        </is>
      </c>
      <c r="K103">
        <f>IFERROR(VLOOKUP(UPPER(C103),Suburb_LGA_Map!$A:$B,2,FALSE),"")</f>
        <v/>
      </c>
    </row>
    <row r="104">
      <c r="A104" t="inlineStr">
        <is>
          <t>SE-00011466</t>
        </is>
      </c>
      <c r="B104" t="inlineStr">
        <is>
          <t>St Ives North OSHC</t>
        </is>
      </c>
      <c r="C104" t="inlineStr">
        <is>
          <t>ST IVES</t>
        </is>
      </c>
      <c r="D104" t="inlineStr">
        <is>
          <t>2075</t>
        </is>
      </c>
      <c r="E104" t="n">
        <v>289</v>
      </c>
      <c r="F104" t="inlineStr">
        <is>
          <t>Meeting NQS</t>
        </is>
      </c>
      <c r="G104" t="inlineStr">
        <is>
          <t>No</t>
        </is>
      </c>
      <c r="H104" t="inlineStr">
        <is>
          <t>No</t>
        </is>
      </c>
      <c r="I104" t="inlineStr">
        <is>
          <t>No</t>
        </is>
      </c>
      <c r="J104" t="inlineStr">
        <is>
          <t>Yes</t>
        </is>
      </c>
      <c r="K104">
        <f>IFERROR(VLOOKUP(UPPER(C104),Suburb_LGA_Map!$A:$B,2,FALSE),"")</f>
        <v/>
      </c>
    </row>
    <row r="105">
      <c r="A105" t="inlineStr">
        <is>
          <t>SE-00011533</t>
        </is>
      </c>
      <c r="B105" t="inlineStr">
        <is>
          <t>Kuringgai Council Vacation Care Kids Getaway</t>
        </is>
      </c>
      <c r="C105" t="inlineStr">
        <is>
          <t>ST IVES</t>
        </is>
      </c>
      <c r="D105" t="inlineStr">
        <is>
          <t>2075</t>
        </is>
      </c>
      <c r="E105" t="n">
        <v>80</v>
      </c>
      <c r="F105" t="inlineStr">
        <is>
          <t>Meeting NQS</t>
        </is>
      </c>
      <c r="G105" t="inlineStr">
        <is>
          <t>No</t>
        </is>
      </c>
      <c r="H105" t="inlineStr">
        <is>
          <t>No</t>
        </is>
      </c>
      <c r="I105" t="inlineStr">
        <is>
          <t>No</t>
        </is>
      </c>
      <c r="J105" t="inlineStr">
        <is>
          <t>No</t>
        </is>
      </c>
      <c r="K105">
        <f>IFERROR(VLOOKUP(UPPER(C105),Suburb_LGA_Map!$A:$B,2,FALSE),"")</f>
        <v/>
      </c>
    </row>
    <row r="106">
      <c r="A106" t="inlineStr">
        <is>
          <t>SE-00011534</t>
        </is>
      </c>
      <c r="B106" t="inlineStr">
        <is>
          <t>Kuringgai Council Vacation Care West Pymble Kids Klub</t>
        </is>
      </c>
      <c r="C106" t="inlineStr">
        <is>
          <t>WEST PYMBLE</t>
        </is>
      </c>
      <c r="D106" t="inlineStr">
        <is>
          <t>2073</t>
        </is>
      </c>
      <c r="E106" t="n">
        <v>55</v>
      </c>
      <c r="F106" t="inlineStr">
        <is>
          <t>Meeting NQS</t>
        </is>
      </c>
      <c r="G106" t="inlineStr">
        <is>
          <t>No</t>
        </is>
      </c>
      <c r="H106" t="inlineStr">
        <is>
          <t>No</t>
        </is>
      </c>
      <c r="I106" t="inlineStr">
        <is>
          <t>No</t>
        </is>
      </c>
      <c r="J106" t="inlineStr">
        <is>
          <t>No</t>
        </is>
      </c>
      <c r="K106">
        <f>IFERROR(VLOOKUP(UPPER(C106),Suburb_LGA_Map!$A:$B,2,FALSE),"")</f>
        <v/>
      </c>
    </row>
    <row r="107">
      <c r="A107" t="inlineStr">
        <is>
          <t>SE-00011562</t>
        </is>
      </c>
      <c r="B107" t="inlineStr">
        <is>
          <t>TeamKids - Mascot Public School</t>
        </is>
      </c>
      <c r="C107" t="inlineStr">
        <is>
          <t>MASCOT</t>
        </is>
      </c>
      <c r="D107" t="inlineStr">
        <is>
          <t>2020</t>
        </is>
      </c>
      <c r="E107" t="n">
        <v>66</v>
      </c>
      <c r="F107" t="inlineStr">
        <is>
          <t>Meeting NQS</t>
        </is>
      </c>
      <c r="G107" t="inlineStr">
        <is>
          <t>No</t>
        </is>
      </c>
      <c r="H107" t="inlineStr">
        <is>
          <t>No</t>
        </is>
      </c>
      <c r="I107" t="inlineStr">
        <is>
          <t>No</t>
        </is>
      </c>
      <c r="J107" t="inlineStr">
        <is>
          <t>Yes</t>
        </is>
      </c>
      <c r="K107">
        <f>IFERROR(VLOOKUP(UPPER(C107),Suburb_LGA_Map!$A:$B,2,FALSE),"")</f>
        <v/>
      </c>
    </row>
    <row r="108">
      <c r="A108" t="inlineStr">
        <is>
          <t>SE-40005669</t>
        </is>
      </c>
      <c r="B108" t="inlineStr">
        <is>
          <t>FROEBEL St Leonards</t>
        </is>
      </c>
      <c r="C108" t="inlineStr">
        <is>
          <t>ST LEONARDS</t>
        </is>
      </c>
      <c r="D108" t="inlineStr">
        <is>
          <t>2065</t>
        </is>
      </c>
      <c r="E108" t="n">
        <v>99</v>
      </c>
      <c r="F108" t="inlineStr">
        <is>
          <t>Meeting NQS</t>
        </is>
      </c>
      <c r="G108" t="inlineStr">
        <is>
          <t>Yes</t>
        </is>
      </c>
      <c r="H108" t="inlineStr">
        <is>
          <t>No</t>
        </is>
      </c>
      <c r="I108" t="inlineStr">
        <is>
          <t>No</t>
        </is>
      </c>
      <c r="J108" t="inlineStr">
        <is>
          <t>No</t>
        </is>
      </c>
      <c r="K108">
        <f>IFERROR(VLOOKUP(UPPER(C108),Suburb_LGA_Map!$A:$B,2,FALSE),"")</f>
        <v/>
      </c>
    </row>
    <row r="109">
      <c r="A109" t="inlineStr">
        <is>
          <t>SE-40005691</t>
        </is>
      </c>
      <c r="B109" t="inlineStr">
        <is>
          <t>Inspire Roseville</t>
        </is>
      </c>
      <c r="C109" t="inlineStr">
        <is>
          <t>ROSEVILLE</t>
        </is>
      </c>
      <c r="D109" t="inlineStr">
        <is>
          <t>2069</t>
        </is>
      </c>
      <c r="E109" t="n">
        <v>50</v>
      </c>
      <c r="F109" t="inlineStr">
        <is>
          <t>Meeting NQS</t>
        </is>
      </c>
      <c r="G109" t="inlineStr">
        <is>
          <t>No</t>
        </is>
      </c>
      <c r="H109" t="inlineStr">
        <is>
          <t>No</t>
        </is>
      </c>
      <c r="I109" t="inlineStr">
        <is>
          <t>No</t>
        </is>
      </c>
      <c r="J109" t="inlineStr">
        <is>
          <t>Yes</t>
        </is>
      </c>
      <c r="K109">
        <f>IFERROR(VLOOKUP(UPPER(C109),Suburb_LGA_Map!$A:$B,2,FALSE),"")</f>
        <v/>
      </c>
    </row>
    <row r="110">
      <c r="A110" t="inlineStr">
        <is>
          <t>SE-00006928</t>
        </is>
      </c>
      <c r="B110" t="inlineStr">
        <is>
          <t>Cheeky Monkeys Day Care Centre</t>
        </is>
      </c>
      <c r="C110" t="inlineStr">
        <is>
          <t>KINGSGROVE</t>
        </is>
      </c>
      <c r="D110" t="inlineStr">
        <is>
          <t>2208</t>
        </is>
      </c>
      <c r="E110" t="n">
        <v>28</v>
      </c>
      <c r="F110" t="inlineStr">
        <is>
          <t>Meeting NQS</t>
        </is>
      </c>
      <c r="G110" t="inlineStr">
        <is>
          <t>Yes</t>
        </is>
      </c>
      <c r="H110" t="inlineStr">
        <is>
          <t>No</t>
        </is>
      </c>
      <c r="I110" t="inlineStr">
        <is>
          <t>No</t>
        </is>
      </c>
      <c r="J110" t="inlineStr">
        <is>
          <t>No</t>
        </is>
      </c>
      <c r="K110">
        <f>IFERROR(VLOOKUP(UPPER(C110),Suburb_LGA_Map!$A:$B,2,FALSE),"")</f>
        <v/>
      </c>
    </row>
    <row r="111">
      <c r="A111" t="inlineStr">
        <is>
          <t>SE-00006949</t>
        </is>
      </c>
      <c r="B111" t="inlineStr">
        <is>
          <t>Integricare Preschool St Ives</t>
        </is>
      </c>
      <c r="C111" t="inlineStr">
        <is>
          <t>ST IVES</t>
        </is>
      </c>
      <c r="D111" t="inlineStr">
        <is>
          <t>2075</t>
        </is>
      </c>
      <c r="E111" t="n">
        <v>40</v>
      </c>
      <c r="F111" t="inlineStr">
        <is>
          <t>Exceeding NQS</t>
        </is>
      </c>
      <c r="G111" t="inlineStr">
        <is>
          <t>No</t>
        </is>
      </c>
      <c r="H111" t="inlineStr">
        <is>
          <t>Yes</t>
        </is>
      </c>
      <c r="I111" t="inlineStr">
        <is>
          <t>No</t>
        </is>
      </c>
      <c r="J111" t="inlineStr">
        <is>
          <t>No</t>
        </is>
      </c>
      <c r="K111">
        <f>IFERROR(VLOOKUP(UPPER(C111),Suburb_LGA_Map!$A:$B,2,FALSE),"")</f>
        <v/>
      </c>
    </row>
    <row r="112">
      <c r="A112" t="inlineStr">
        <is>
          <t>SE-00013906</t>
        </is>
      </c>
      <c r="B112" t="inlineStr">
        <is>
          <t>Integricare Early Learning Centre Rockdale Plaza</t>
        </is>
      </c>
      <c r="C112" t="inlineStr">
        <is>
          <t>ROCKDALE</t>
        </is>
      </c>
      <c r="D112" t="inlineStr">
        <is>
          <t>2216</t>
        </is>
      </c>
      <c r="E112" t="n">
        <v>40</v>
      </c>
      <c r="F112" t="inlineStr">
        <is>
          <t>Meeting NQS</t>
        </is>
      </c>
      <c r="G112" t="inlineStr">
        <is>
          <t>Yes</t>
        </is>
      </c>
      <c r="H112" t="inlineStr">
        <is>
          <t>Yes</t>
        </is>
      </c>
      <c r="I112" t="inlineStr">
        <is>
          <t>No</t>
        </is>
      </c>
      <c r="J112" t="inlineStr">
        <is>
          <t>No</t>
        </is>
      </c>
      <c r="K112">
        <f>IFERROR(VLOOKUP(UPPER(C112),Suburb_LGA_Map!$A:$B,2,FALSE),"")</f>
        <v/>
      </c>
    </row>
    <row r="113">
      <c r="A113" t="inlineStr">
        <is>
          <t>SE-00017550</t>
        </is>
      </c>
      <c r="B113" t="inlineStr">
        <is>
          <t>Play to Learn Early Learning Centre</t>
        </is>
      </c>
      <c r="C113" t="inlineStr">
        <is>
          <t>TURRAMURRA</t>
        </is>
      </c>
      <c r="D113" t="inlineStr">
        <is>
          <t>2074</t>
        </is>
      </c>
      <c r="E113" t="n">
        <v>80</v>
      </c>
      <c r="F113" t="inlineStr">
        <is>
          <t>Exceeding NQS</t>
        </is>
      </c>
      <c r="G113" t="inlineStr">
        <is>
          <t>Yes</t>
        </is>
      </c>
      <c r="H113" t="inlineStr">
        <is>
          <t>No</t>
        </is>
      </c>
      <c r="I113" t="inlineStr">
        <is>
          <t>No</t>
        </is>
      </c>
      <c r="J113" t="inlineStr">
        <is>
          <t>No</t>
        </is>
      </c>
      <c r="K113">
        <f>IFERROR(VLOOKUP(UPPER(C113),Suburb_LGA_Map!$A:$B,2,FALSE),"")</f>
        <v/>
      </c>
    </row>
    <row r="114">
      <c r="A114" t="inlineStr">
        <is>
          <t>SE-00017575</t>
        </is>
      </c>
      <c r="B114" t="inlineStr">
        <is>
          <t>My Reggio Kindy Garden</t>
        </is>
      </c>
      <c r="C114" t="inlineStr">
        <is>
          <t>ROSEBERY</t>
        </is>
      </c>
      <c r="D114" t="inlineStr">
        <is>
          <t>2018</t>
        </is>
      </c>
      <c r="E114" t="n">
        <v>28</v>
      </c>
      <c r="F114" t="inlineStr"/>
      <c r="G114" t="inlineStr">
        <is>
          <t>Yes</t>
        </is>
      </c>
      <c r="H114" t="inlineStr">
        <is>
          <t>No</t>
        </is>
      </c>
      <c r="I114" t="inlineStr">
        <is>
          <t>No</t>
        </is>
      </c>
      <c r="J114" t="inlineStr">
        <is>
          <t>No</t>
        </is>
      </c>
      <c r="K114">
        <f>IFERROR(VLOOKUP(UPPER(C114),Suburb_LGA_Map!$A:$B,2,FALSE),"")</f>
        <v/>
      </c>
    </row>
    <row r="115">
      <c r="A115" t="inlineStr">
        <is>
          <t>SE-00017579</t>
        </is>
      </c>
      <c r="B115" t="inlineStr">
        <is>
          <t>Montessori By The Bay</t>
        </is>
      </c>
      <c r="C115" t="inlineStr">
        <is>
          <t>MONTEREY</t>
        </is>
      </c>
      <c r="D115" t="inlineStr">
        <is>
          <t>2217</t>
        </is>
      </c>
      <c r="E115" t="n">
        <v>20</v>
      </c>
      <c r="F115" t="inlineStr">
        <is>
          <t>Meeting NQS</t>
        </is>
      </c>
      <c r="G115" t="inlineStr">
        <is>
          <t>Yes</t>
        </is>
      </c>
      <c r="H115" t="inlineStr">
        <is>
          <t>No</t>
        </is>
      </c>
      <c r="I115" t="inlineStr">
        <is>
          <t>No</t>
        </is>
      </c>
      <c r="J115" t="inlineStr">
        <is>
          <t>No</t>
        </is>
      </c>
      <c r="K115">
        <f>IFERROR(VLOOKUP(UPPER(C115),Suburb_LGA_Map!$A:$B,2,FALSE),"")</f>
        <v/>
      </c>
    </row>
    <row r="116">
      <c r="A116" t="inlineStr">
        <is>
          <t>SE-00006435</t>
        </is>
      </c>
      <c r="B116" t="inlineStr">
        <is>
          <t>Angels of the Bay-Children's Long Day Care Centre</t>
        </is>
      </c>
      <c r="C116" t="inlineStr">
        <is>
          <t>SANS SOUCI</t>
        </is>
      </c>
      <c r="D116" t="inlineStr">
        <is>
          <t>2219</t>
        </is>
      </c>
      <c r="E116" t="n">
        <v>39</v>
      </c>
      <c r="F116" t="inlineStr">
        <is>
          <t>Meeting NQS</t>
        </is>
      </c>
      <c r="G116" t="inlineStr">
        <is>
          <t>Yes</t>
        </is>
      </c>
      <c r="H116" t="inlineStr">
        <is>
          <t>No</t>
        </is>
      </c>
      <c r="I116" t="inlineStr">
        <is>
          <t>No</t>
        </is>
      </c>
      <c r="J116" t="inlineStr">
        <is>
          <t>No</t>
        </is>
      </c>
      <c r="K116">
        <f>IFERROR(VLOOKUP(UPPER(C116),Suburb_LGA_Map!$A:$B,2,FALSE),"")</f>
        <v/>
      </c>
    </row>
    <row r="117">
      <c r="A117" t="inlineStr">
        <is>
          <t>SE-00006460</t>
        </is>
      </c>
      <c r="B117" t="inlineStr">
        <is>
          <t>Arncliffe Pre-School</t>
        </is>
      </c>
      <c r="C117" t="inlineStr">
        <is>
          <t>ARNCLIFFE</t>
        </is>
      </c>
      <c r="D117" t="inlineStr">
        <is>
          <t>2205</t>
        </is>
      </c>
      <c r="E117" t="n">
        <v>38</v>
      </c>
      <c r="F117" t="inlineStr">
        <is>
          <t>Exceeding NQS</t>
        </is>
      </c>
      <c r="G117" t="inlineStr">
        <is>
          <t>No</t>
        </is>
      </c>
      <c r="H117" t="inlineStr">
        <is>
          <t>Yes</t>
        </is>
      </c>
      <c r="I117" t="inlineStr">
        <is>
          <t>No</t>
        </is>
      </c>
      <c r="J117" t="inlineStr">
        <is>
          <t>No</t>
        </is>
      </c>
      <c r="K117">
        <f>IFERROR(VLOOKUP(UPPER(C117),Suburb_LGA_Map!$A:$B,2,FALSE),"")</f>
        <v/>
      </c>
    </row>
    <row r="118">
      <c r="A118" t="inlineStr">
        <is>
          <t>SE-00006461</t>
        </is>
      </c>
      <c r="B118" t="inlineStr">
        <is>
          <t>Arncliffe West Infants Preschool</t>
        </is>
      </c>
      <c r="C118" t="inlineStr">
        <is>
          <t>TURRELLA</t>
        </is>
      </c>
      <c r="D118" t="inlineStr">
        <is>
          <t>2205</t>
        </is>
      </c>
      <c r="E118" t="n">
        <v>20</v>
      </c>
      <c r="F118" t="inlineStr">
        <is>
          <t>Meeting NQS</t>
        </is>
      </c>
      <c r="G118" t="inlineStr">
        <is>
          <t>No</t>
        </is>
      </c>
      <c r="H118" t="inlineStr">
        <is>
          <t>No</t>
        </is>
      </c>
      <c r="I118" t="inlineStr">
        <is>
          <t>Yes</t>
        </is>
      </c>
      <c r="J118" t="inlineStr">
        <is>
          <t>No</t>
        </is>
      </c>
      <c r="K118">
        <f>IFERROR(VLOOKUP(UPPER(C118),Suburb_LGA_Map!$A:$B,2,FALSE),"")</f>
        <v/>
      </c>
    </row>
    <row r="119">
      <c r="A119" t="inlineStr">
        <is>
          <t>SE-00006475</t>
        </is>
      </c>
      <c r="B119" t="inlineStr">
        <is>
          <t>Atchison Cottage</t>
        </is>
      </c>
      <c r="C119" t="inlineStr">
        <is>
          <t>CROWS NEST</t>
        </is>
      </c>
      <c r="D119" t="inlineStr">
        <is>
          <t>2065</t>
        </is>
      </c>
      <c r="E119" t="n">
        <v>65</v>
      </c>
      <c r="F119" t="inlineStr">
        <is>
          <t>Exceeding NQS</t>
        </is>
      </c>
      <c r="G119" t="inlineStr">
        <is>
          <t>Yes</t>
        </is>
      </c>
      <c r="H119" t="inlineStr">
        <is>
          <t>No</t>
        </is>
      </c>
      <c r="I119" t="inlineStr">
        <is>
          <t>No</t>
        </is>
      </c>
      <c r="J119" t="inlineStr">
        <is>
          <t>No</t>
        </is>
      </c>
      <c r="K119">
        <f>IFERROR(VLOOKUP(UPPER(C119),Suburb_LGA_Map!$A:$B,2,FALSE),"")</f>
        <v/>
      </c>
    </row>
    <row r="120">
      <c r="A120" t="inlineStr">
        <is>
          <t>SE-00006476</t>
        </is>
      </c>
      <c r="B120" t="inlineStr">
        <is>
          <t>Atchison Preschool</t>
        </is>
      </c>
      <c r="C120" t="inlineStr">
        <is>
          <t>CROWS NEST</t>
        </is>
      </c>
      <c r="D120" t="inlineStr">
        <is>
          <t>2065</t>
        </is>
      </c>
      <c r="E120" t="n">
        <v>29</v>
      </c>
      <c r="F120" t="inlineStr">
        <is>
          <t>Meeting NQS</t>
        </is>
      </c>
      <c r="G120" t="inlineStr">
        <is>
          <t>Yes</t>
        </is>
      </c>
      <c r="H120" t="inlineStr">
        <is>
          <t>No</t>
        </is>
      </c>
      <c r="I120" t="inlineStr">
        <is>
          <t>No</t>
        </is>
      </c>
      <c r="J120" t="inlineStr">
        <is>
          <t>No</t>
        </is>
      </c>
      <c r="K120">
        <f>IFERROR(VLOOKUP(UPPER(C120),Suburb_LGA_Map!$A:$B,2,FALSE),"")</f>
        <v/>
      </c>
    </row>
    <row r="121">
      <c r="A121" t="inlineStr">
        <is>
          <t>SE-00006495</t>
        </is>
      </c>
      <c r="B121" t="inlineStr">
        <is>
          <t>St George Montessori Kingsgrove Early Learning Centre</t>
        </is>
      </c>
      <c r="C121" t="inlineStr">
        <is>
          <t>KINGSGROVE</t>
        </is>
      </c>
      <c r="D121" t="inlineStr">
        <is>
          <t>2208</t>
        </is>
      </c>
      <c r="E121" t="n">
        <v>46</v>
      </c>
      <c r="F121" t="inlineStr">
        <is>
          <t>Meeting NQS</t>
        </is>
      </c>
      <c r="G121" t="inlineStr">
        <is>
          <t>Yes</t>
        </is>
      </c>
      <c r="H121" t="inlineStr">
        <is>
          <t>No</t>
        </is>
      </c>
      <c r="I121" t="inlineStr">
        <is>
          <t>No</t>
        </is>
      </c>
      <c r="J121" t="inlineStr">
        <is>
          <t>No</t>
        </is>
      </c>
      <c r="K121">
        <f>IFERROR(VLOOKUP(UPPER(C121),Suburb_LGA_Map!$A:$B,2,FALSE),"")</f>
        <v/>
      </c>
    </row>
    <row r="122">
      <c r="A122" t="inlineStr">
        <is>
          <t>SE-00006496</t>
        </is>
      </c>
      <c r="B122" t="inlineStr">
        <is>
          <t>Babyccino</t>
        </is>
      </c>
      <c r="C122" t="inlineStr">
        <is>
          <t>BRIGHTON-LE-SANDS</t>
        </is>
      </c>
      <c r="D122" t="inlineStr">
        <is>
          <t>2216</t>
        </is>
      </c>
      <c r="E122" t="n">
        <v>36</v>
      </c>
      <c r="F122" t="inlineStr">
        <is>
          <t>Working Towards NQS</t>
        </is>
      </c>
      <c r="G122" t="inlineStr">
        <is>
          <t>Yes</t>
        </is>
      </c>
      <c r="H122" t="inlineStr">
        <is>
          <t>No</t>
        </is>
      </c>
      <c r="I122" t="inlineStr">
        <is>
          <t>No</t>
        </is>
      </c>
      <c r="J122" t="inlineStr">
        <is>
          <t>No</t>
        </is>
      </c>
      <c r="K122">
        <f>IFERROR(VLOOKUP(UPPER(C122),Suburb_LGA_Map!$A:$B,2,FALSE),"")</f>
        <v/>
      </c>
    </row>
    <row r="123">
      <c r="A123" t="inlineStr">
        <is>
          <t>SE-00006531</t>
        </is>
      </c>
      <c r="B123" t="inlineStr">
        <is>
          <t>My Best Me Early Learning Academy</t>
        </is>
      </c>
      <c r="C123" t="inlineStr">
        <is>
          <t>ROCKDALE</t>
        </is>
      </c>
      <c r="D123" t="inlineStr">
        <is>
          <t>2216</t>
        </is>
      </c>
      <c r="E123" t="n">
        <v>58</v>
      </c>
      <c r="F123" t="inlineStr">
        <is>
          <t>Meeting NQS</t>
        </is>
      </c>
      <c r="G123" t="inlineStr">
        <is>
          <t>Yes</t>
        </is>
      </c>
      <c r="H123" t="inlineStr">
        <is>
          <t>No</t>
        </is>
      </c>
      <c r="I123" t="inlineStr">
        <is>
          <t>No</t>
        </is>
      </c>
      <c r="J123" t="inlineStr">
        <is>
          <t>No</t>
        </is>
      </c>
      <c r="K123">
        <f>IFERROR(VLOOKUP(UPPER(C123),Suburb_LGA_Map!$A:$B,2,FALSE),"")</f>
        <v/>
      </c>
    </row>
    <row r="124">
      <c r="A124" t="inlineStr">
        <is>
          <t>SE-00006541</t>
        </is>
      </c>
      <c r="B124" t="inlineStr">
        <is>
          <t>Banksmeadow Public School Preschool</t>
        </is>
      </c>
      <c r="C124" t="inlineStr">
        <is>
          <t>BOTANY</t>
        </is>
      </c>
      <c r="D124" t="inlineStr">
        <is>
          <t>2019</t>
        </is>
      </c>
      <c r="E124" t="n">
        <v>40</v>
      </c>
      <c r="F124" t="inlineStr">
        <is>
          <t>Exceeding NQS</t>
        </is>
      </c>
      <c r="G124" t="inlineStr">
        <is>
          <t>No</t>
        </is>
      </c>
      <c r="H124" t="inlineStr">
        <is>
          <t>No</t>
        </is>
      </c>
      <c r="I124" t="inlineStr">
        <is>
          <t>Yes</t>
        </is>
      </c>
      <c r="J124" t="inlineStr">
        <is>
          <t>No</t>
        </is>
      </c>
      <c r="K124">
        <f>IFERROR(VLOOKUP(UPPER(C124),Suburb_LGA_Map!$A:$B,2,FALSE),"")</f>
        <v/>
      </c>
    </row>
    <row r="125">
      <c r="A125" t="inlineStr">
        <is>
          <t>SE-40003082</t>
        </is>
      </c>
      <c r="B125" t="inlineStr">
        <is>
          <t>Jane's Place Early Learning Centre Turramurra Pty Ltd</t>
        </is>
      </c>
      <c r="C125" t="inlineStr">
        <is>
          <t>NORTH TURRAMURRA</t>
        </is>
      </c>
      <c r="D125" t="inlineStr">
        <is>
          <t>2074</t>
        </is>
      </c>
      <c r="E125" t="n">
        <v>49</v>
      </c>
      <c r="F125" t="inlineStr">
        <is>
          <t>Meeting NQS</t>
        </is>
      </c>
      <c r="G125" t="inlineStr">
        <is>
          <t>Yes</t>
        </is>
      </c>
      <c r="H125" t="inlineStr">
        <is>
          <t>No</t>
        </is>
      </c>
      <c r="I125" t="inlineStr">
        <is>
          <t>No</t>
        </is>
      </c>
      <c r="J125" t="inlineStr">
        <is>
          <t>No</t>
        </is>
      </c>
      <c r="K125">
        <f>IFERROR(VLOOKUP(UPPER(C125),Suburb_LGA_Map!$A:$B,2,FALSE),"")</f>
        <v/>
      </c>
    </row>
    <row r="126">
      <c r="A126" t="inlineStr">
        <is>
          <t>SE-40012985</t>
        </is>
      </c>
      <c r="B126" t="inlineStr">
        <is>
          <t>Reggio Emilia Early Learning Centre Pagewood</t>
        </is>
      </c>
      <c r="C126" t="inlineStr">
        <is>
          <t>PAGEWOOD</t>
        </is>
      </c>
      <c r="D126" t="inlineStr">
        <is>
          <t>2035</t>
        </is>
      </c>
      <c r="E126" t="n">
        <v>87</v>
      </c>
      <c r="F126" t="inlineStr">
        <is>
          <t>Meeting NQS</t>
        </is>
      </c>
      <c r="G126" t="inlineStr">
        <is>
          <t>Yes</t>
        </is>
      </c>
      <c r="H126" t="inlineStr">
        <is>
          <t>No</t>
        </is>
      </c>
      <c r="I126" t="inlineStr">
        <is>
          <t>No</t>
        </is>
      </c>
      <c r="J126" t="inlineStr">
        <is>
          <t>No</t>
        </is>
      </c>
      <c r="K126">
        <f>IFERROR(VLOOKUP(UPPER(C126),Suburb_LGA_Map!$A:$B,2,FALSE),"")</f>
        <v/>
      </c>
    </row>
    <row r="127">
      <c r="A127" t="inlineStr">
        <is>
          <t>SE-40013118</t>
        </is>
      </c>
      <c r="B127" t="inlineStr">
        <is>
          <t>The Montessori Preschool &amp; LDC of Sydney</t>
        </is>
      </c>
      <c r="C127" t="inlineStr">
        <is>
          <t>MASCOT</t>
        </is>
      </c>
      <c r="D127" t="inlineStr">
        <is>
          <t>2020</t>
        </is>
      </c>
      <c r="E127" t="n">
        <v>80</v>
      </c>
      <c r="F127" t="inlineStr">
        <is>
          <t>Meeting NQS</t>
        </is>
      </c>
      <c r="G127" t="inlineStr">
        <is>
          <t>Yes</t>
        </is>
      </c>
      <c r="H127" t="inlineStr">
        <is>
          <t>No</t>
        </is>
      </c>
      <c r="I127" t="inlineStr">
        <is>
          <t>No</t>
        </is>
      </c>
      <c r="J127" t="inlineStr">
        <is>
          <t>No</t>
        </is>
      </c>
      <c r="K127">
        <f>IFERROR(VLOOKUP(UPPER(C127),Suburb_LGA_Map!$A:$B,2,FALSE),"")</f>
        <v/>
      </c>
    </row>
    <row r="128">
      <c r="A128" t="inlineStr">
        <is>
          <t>SE-40013327</t>
        </is>
      </c>
      <c r="B128" t="inlineStr">
        <is>
          <t>Little Endeavours Early Learning Centre</t>
        </is>
      </c>
      <c r="C128" t="inlineStr">
        <is>
          <t>SANS SOUCI</t>
        </is>
      </c>
      <c r="D128" t="inlineStr">
        <is>
          <t>2219</t>
        </is>
      </c>
      <c r="E128" t="n">
        <v>67</v>
      </c>
      <c r="F128" t="inlineStr">
        <is>
          <t>Meeting NQS</t>
        </is>
      </c>
      <c r="G128" t="inlineStr">
        <is>
          <t>Yes</t>
        </is>
      </c>
      <c r="H128" t="inlineStr">
        <is>
          <t>No</t>
        </is>
      </c>
      <c r="I128" t="inlineStr">
        <is>
          <t>No</t>
        </is>
      </c>
      <c r="J128" t="inlineStr">
        <is>
          <t>No</t>
        </is>
      </c>
      <c r="K128">
        <f>IFERROR(VLOOKUP(UPPER(C128),Suburb_LGA_Map!$A:$B,2,FALSE),"")</f>
        <v/>
      </c>
    </row>
    <row r="129">
      <c r="A129" t="inlineStr">
        <is>
          <t>SE-00008439</t>
        </is>
      </c>
      <c r="B129" t="inlineStr">
        <is>
          <t>Montessori By - The - Bay</t>
        </is>
      </c>
      <c r="C129" t="inlineStr">
        <is>
          <t>MONTEREY</t>
        </is>
      </c>
      <c r="D129" t="inlineStr">
        <is>
          <t>2217</t>
        </is>
      </c>
      <c r="E129" t="n">
        <v>25</v>
      </c>
      <c r="F129" t="inlineStr">
        <is>
          <t>Meeting NQS</t>
        </is>
      </c>
      <c r="G129" t="inlineStr">
        <is>
          <t>Yes</t>
        </is>
      </c>
      <c r="H129" t="inlineStr">
        <is>
          <t>No</t>
        </is>
      </c>
      <c r="I129" t="inlineStr">
        <is>
          <t>No</t>
        </is>
      </c>
      <c r="J129" t="inlineStr">
        <is>
          <t>No</t>
        </is>
      </c>
      <c r="K129">
        <f>IFERROR(VLOOKUP(UPPER(C129),Suburb_LGA_Map!$A:$B,2,FALSE),"")</f>
        <v/>
      </c>
    </row>
    <row r="130">
      <c r="A130" t="inlineStr">
        <is>
          <t>SE-00008542</t>
        </is>
      </c>
      <c r="B130" t="inlineStr">
        <is>
          <t>Neutral Bay Kindergarten</t>
        </is>
      </c>
      <c r="C130" t="inlineStr">
        <is>
          <t>CREMORNE</t>
        </is>
      </c>
      <c r="D130" t="inlineStr">
        <is>
          <t>2090</t>
        </is>
      </c>
      <c r="E130" t="n">
        <v>57</v>
      </c>
      <c r="F130" t="inlineStr">
        <is>
          <t>Meeting NQS</t>
        </is>
      </c>
      <c r="G130" t="inlineStr">
        <is>
          <t>Yes</t>
        </is>
      </c>
      <c r="H130" t="inlineStr">
        <is>
          <t>No</t>
        </is>
      </c>
      <c r="I130" t="inlineStr">
        <is>
          <t>No</t>
        </is>
      </c>
      <c r="J130" t="inlineStr">
        <is>
          <t>No</t>
        </is>
      </c>
      <c r="K130">
        <f>IFERROR(VLOOKUP(UPPER(C130),Suburb_LGA_Map!$A:$B,2,FALSE),"")</f>
        <v/>
      </c>
    </row>
    <row r="131">
      <c r="A131" t="inlineStr">
        <is>
          <t>SE-00008543</t>
        </is>
      </c>
      <c r="B131" t="inlineStr">
        <is>
          <t>Neutral Bay Pre-school</t>
        </is>
      </c>
      <c r="C131" t="inlineStr">
        <is>
          <t>NEUTRAL BAY</t>
        </is>
      </c>
      <c r="D131" t="inlineStr">
        <is>
          <t>2089</t>
        </is>
      </c>
      <c r="E131" t="n">
        <v>48</v>
      </c>
      <c r="F131" t="inlineStr">
        <is>
          <t>Meeting NQS</t>
        </is>
      </c>
      <c r="G131" t="inlineStr">
        <is>
          <t>Yes</t>
        </is>
      </c>
      <c r="H131" t="inlineStr">
        <is>
          <t>No</t>
        </is>
      </c>
      <c r="I131" t="inlineStr">
        <is>
          <t>No</t>
        </is>
      </c>
      <c r="J131" t="inlineStr">
        <is>
          <t>No</t>
        </is>
      </c>
      <c r="K131">
        <f>IFERROR(VLOOKUP(UPPER(C131),Suburb_LGA_Map!$A:$B,2,FALSE),"")</f>
        <v/>
      </c>
    </row>
    <row r="132">
      <c r="A132" t="inlineStr">
        <is>
          <t>SE-00008552</t>
        </is>
      </c>
      <c r="B132" t="inlineStr">
        <is>
          <t>SUNNY DAISY EARLY LEARNING CENTRE</t>
        </is>
      </c>
      <c r="C132" t="inlineStr">
        <is>
          <t>WAHROONGA</t>
        </is>
      </c>
      <c r="D132" t="inlineStr">
        <is>
          <t>2076</t>
        </is>
      </c>
      <c r="E132" t="n">
        <v>40</v>
      </c>
      <c r="F132" t="inlineStr">
        <is>
          <t>Meeting NQS</t>
        </is>
      </c>
      <c r="G132" t="inlineStr">
        <is>
          <t>Yes</t>
        </is>
      </c>
      <c r="H132" t="inlineStr">
        <is>
          <t>No</t>
        </is>
      </c>
      <c r="I132" t="inlineStr">
        <is>
          <t>No</t>
        </is>
      </c>
      <c r="J132" t="inlineStr">
        <is>
          <t>No</t>
        </is>
      </c>
      <c r="K132">
        <f>IFERROR(VLOOKUP(UPPER(C132),Suburb_LGA_Map!$A:$B,2,FALSE),"")</f>
        <v/>
      </c>
    </row>
    <row r="133">
      <c r="A133" t="inlineStr">
        <is>
          <t>SE-40022207</t>
        </is>
      </c>
      <c r="B133" t="inlineStr">
        <is>
          <t>SCECS OSHC St Francis Xavier's Arncliffe</t>
        </is>
      </c>
      <c r="C133" t="inlineStr">
        <is>
          <t>ARNCLIFFE</t>
        </is>
      </c>
      <c r="D133" t="inlineStr">
        <is>
          <t>2205</t>
        </is>
      </c>
      <c r="E133" t="n">
        <v>120</v>
      </c>
      <c r="F133" t="inlineStr">
        <is>
          <t>Meeting NQS</t>
        </is>
      </c>
      <c r="G133" t="inlineStr">
        <is>
          <t>No</t>
        </is>
      </c>
      <c r="H133" t="inlineStr">
        <is>
          <t>No</t>
        </is>
      </c>
      <c r="I133" t="inlineStr">
        <is>
          <t>No</t>
        </is>
      </c>
      <c r="J133" t="inlineStr">
        <is>
          <t>Yes</t>
        </is>
      </c>
      <c r="K133">
        <f>IFERROR(VLOOKUP(UPPER(C133),Suburb_LGA_Map!$A:$B,2,FALSE),"")</f>
        <v/>
      </c>
    </row>
    <row r="134">
      <c r="A134" t="inlineStr">
        <is>
          <t>SE-40022298</t>
        </is>
      </c>
      <c r="B134" t="inlineStr">
        <is>
          <t>SCECS OSHC St Therese Mascot</t>
        </is>
      </c>
      <c r="C134" t="inlineStr">
        <is>
          <t>MASCOT</t>
        </is>
      </c>
      <c r="D134" t="inlineStr">
        <is>
          <t>2020</t>
        </is>
      </c>
      <c r="E134" t="n">
        <v>164</v>
      </c>
      <c r="F134" t="inlineStr">
        <is>
          <t>Meeting NQS</t>
        </is>
      </c>
      <c r="G134" t="inlineStr">
        <is>
          <t>No</t>
        </is>
      </c>
      <c r="H134" t="inlineStr">
        <is>
          <t>No</t>
        </is>
      </c>
      <c r="I134" t="inlineStr">
        <is>
          <t>No</t>
        </is>
      </c>
      <c r="J134" t="inlineStr">
        <is>
          <t>Yes</t>
        </is>
      </c>
      <c r="K134">
        <f>IFERROR(VLOOKUP(UPPER(C134),Suburb_LGA_Map!$A:$B,2,FALSE),"")</f>
        <v/>
      </c>
    </row>
    <row r="135">
      <c r="A135" t="inlineStr">
        <is>
          <t>SE-40022299</t>
        </is>
      </c>
      <c r="B135" t="inlineStr">
        <is>
          <t>SCECS OSHC St Finbar's Sans Souci</t>
        </is>
      </c>
      <c r="C135" t="inlineStr">
        <is>
          <t>SANS SOUCI</t>
        </is>
      </c>
      <c r="D135" t="inlineStr">
        <is>
          <t>2219</t>
        </is>
      </c>
      <c r="E135" t="n">
        <v>58</v>
      </c>
      <c r="F135" t="inlineStr">
        <is>
          <t>Meeting NQS</t>
        </is>
      </c>
      <c r="G135" t="inlineStr">
        <is>
          <t>No</t>
        </is>
      </c>
      <c r="H135" t="inlineStr">
        <is>
          <t>No</t>
        </is>
      </c>
      <c r="I135" t="inlineStr">
        <is>
          <t>No</t>
        </is>
      </c>
      <c r="J135" t="inlineStr">
        <is>
          <t>Yes</t>
        </is>
      </c>
      <c r="K135">
        <f>IFERROR(VLOOKUP(UPPER(C135),Suburb_LGA_Map!$A:$B,2,FALSE),"")</f>
        <v/>
      </c>
    </row>
    <row r="136">
      <c r="A136" t="inlineStr">
        <is>
          <t>SE-00006320</t>
        </is>
      </c>
      <c r="B136" t="inlineStr">
        <is>
          <t>Goodstart Early Learning St Leonards - Christie Street</t>
        </is>
      </c>
      <c r="C136" t="inlineStr">
        <is>
          <t>ST LEONARDS</t>
        </is>
      </c>
      <c r="D136" t="inlineStr">
        <is>
          <t>2065</t>
        </is>
      </c>
      <c r="E136" t="n">
        <v>66</v>
      </c>
      <c r="F136" t="inlineStr">
        <is>
          <t>Meeting NQS</t>
        </is>
      </c>
      <c r="G136" t="inlineStr">
        <is>
          <t>Yes</t>
        </is>
      </c>
      <c r="H136" t="inlineStr">
        <is>
          <t>No</t>
        </is>
      </c>
      <c r="I136" t="inlineStr">
        <is>
          <t>No</t>
        </is>
      </c>
      <c r="J136" t="inlineStr">
        <is>
          <t>No</t>
        </is>
      </c>
      <c r="K136">
        <f>IFERROR(VLOOKUP(UPPER(C136),Suburb_LGA_Map!$A:$B,2,FALSE),"")</f>
        <v/>
      </c>
    </row>
    <row r="137">
      <c r="A137" t="inlineStr">
        <is>
          <t>SE-00006338</t>
        </is>
      </c>
      <c r="B137" t="inlineStr">
        <is>
          <t>Goodstart Early Learning North Sydney - West Street</t>
        </is>
      </c>
      <c r="C137" t="inlineStr">
        <is>
          <t>NORTH SYDNEY</t>
        </is>
      </c>
      <c r="D137" t="inlineStr">
        <is>
          <t>2060</t>
        </is>
      </c>
      <c r="E137" t="n">
        <v>63</v>
      </c>
      <c r="F137" t="inlineStr">
        <is>
          <t>Meeting NQS</t>
        </is>
      </c>
      <c r="G137" t="inlineStr">
        <is>
          <t>Yes</t>
        </is>
      </c>
      <c r="H137" t="inlineStr">
        <is>
          <t>No</t>
        </is>
      </c>
      <c r="I137" t="inlineStr">
        <is>
          <t>No</t>
        </is>
      </c>
      <c r="J137" t="inlineStr">
        <is>
          <t>No</t>
        </is>
      </c>
      <c r="K137">
        <f>IFERROR(VLOOKUP(UPPER(C137),Suburb_LGA_Map!$A:$B,2,FALSE),"")</f>
        <v/>
      </c>
    </row>
    <row r="138">
      <c r="A138" t="inlineStr">
        <is>
          <t>SE-00006350</t>
        </is>
      </c>
      <c r="B138" t="inlineStr">
        <is>
          <t>Abbotsleigh Early Learning Centre</t>
        </is>
      </c>
      <c r="C138" t="inlineStr">
        <is>
          <t>WAHROONGA</t>
        </is>
      </c>
      <c r="D138" t="inlineStr">
        <is>
          <t>2076</t>
        </is>
      </c>
      <c r="E138" t="n">
        <v>70</v>
      </c>
      <c r="F138" t="inlineStr">
        <is>
          <t>Exceeding NQS</t>
        </is>
      </c>
      <c r="G138" t="inlineStr">
        <is>
          <t>Yes</t>
        </is>
      </c>
      <c r="H138" t="inlineStr">
        <is>
          <t>No</t>
        </is>
      </c>
      <c r="I138" t="inlineStr">
        <is>
          <t>Yes</t>
        </is>
      </c>
      <c r="J138" t="inlineStr">
        <is>
          <t>No</t>
        </is>
      </c>
      <c r="K138">
        <f>IFERROR(VLOOKUP(UPPER(C138),Suburb_LGA_Map!$A:$B,2,FALSE),"")</f>
        <v/>
      </c>
    </row>
    <row r="139">
      <c r="A139" t="inlineStr">
        <is>
          <t>SE-00006363</t>
        </is>
      </c>
      <c r="B139" t="inlineStr">
        <is>
          <t>Guardian Childcare &amp; Education Pymble</t>
        </is>
      </c>
      <c r="C139" t="inlineStr">
        <is>
          <t>PYMBLE</t>
        </is>
      </c>
      <c r="D139" t="inlineStr">
        <is>
          <t>2073</t>
        </is>
      </c>
      <c r="E139" t="n">
        <v>98</v>
      </c>
      <c r="F139" t="inlineStr">
        <is>
          <t>Meeting NQS</t>
        </is>
      </c>
      <c r="G139" t="inlineStr">
        <is>
          <t>Yes</t>
        </is>
      </c>
      <c r="H139" t="inlineStr">
        <is>
          <t>No</t>
        </is>
      </c>
      <c r="I139" t="inlineStr">
        <is>
          <t>No</t>
        </is>
      </c>
      <c r="J139" t="inlineStr">
        <is>
          <t>No</t>
        </is>
      </c>
      <c r="K139">
        <f>IFERROR(VLOOKUP(UPPER(C139),Suburb_LGA_Map!$A:$B,2,FALSE),"")</f>
        <v/>
      </c>
    </row>
    <row r="140">
      <c r="A140" t="inlineStr">
        <is>
          <t>SE-00006366</t>
        </is>
      </c>
      <c r="B140" t="inlineStr">
        <is>
          <t>Active Kids - Mascot</t>
        </is>
      </c>
      <c r="C140" t="inlineStr">
        <is>
          <t>MASCOT</t>
        </is>
      </c>
      <c r="D140" t="inlineStr">
        <is>
          <t>2020</t>
        </is>
      </c>
      <c r="E140" t="n">
        <v>67</v>
      </c>
      <c r="F140" t="inlineStr">
        <is>
          <t>Meeting NQS</t>
        </is>
      </c>
      <c r="G140" t="inlineStr">
        <is>
          <t>Yes</t>
        </is>
      </c>
      <c r="H140" t="inlineStr">
        <is>
          <t>No</t>
        </is>
      </c>
      <c r="I140" t="inlineStr">
        <is>
          <t>No</t>
        </is>
      </c>
      <c r="J140" t="inlineStr">
        <is>
          <t>No</t>
        </is>
      </c>
      <c r="K140">
        <f>IFERROR(VLOOKUP(UPPER(C140),Suburb_LGA_Map!$A:$B,2,FALSE),"")</f>
        <v/>
      </c>
    </row>
    <row r="141">
      <c r="A141" t="inlineStr">
        <is>
          <t>SE-00006387</t>
        </is>
      </c>
      <c r="B141" t="inlineStr">
        <is>
          <t>Story House Early Learning Mascot</t>
        </is>
      </c>
      <c r="C141" t="inlineStr">
        <is>
          <t>MASCOT</t>
        </is>
      </c>
      <c r="D141" t="inlineStr">
        <is>
          <t>2020</t>
        </is>
      </c>
      <c r="E141" t="n">
        <v>90</v>
      </c>
      <c r="F141" t="inlineStr">
        <is>
          <t>Meeting NQS</t>
        </is>
      </c>
      <c r="G141" t="inlineStr">
        <is>
          <t>Yes</t>
        </is>
      </c>
      <c r="H141" t="inlineStr">
        <is>
          <t>No</t>
        </is>
      </c>
      <c r="I141" t="inlineStr">
        <is>
          <t>No</t>
        </is>
      </c>
      <c r="J141" t="inlineStr">
        <is>
          <t>No</t>
        </is>
      </c>
      <c r="K141">
        <f>IFERROR(VLOOKUP(UPPER(C141),Suburb_LGA_Map!$A:$B,2,FALSE),"")</f>
        <v/>
      </c>
    </row>
    <row r="142">
      <c r="A142" t="inlineStr">
        <is>
          <t>SE-00006388</t>
        </is>
      </c>
      <c r="B142" t="inlineStr">
        <is>
          <t>Al Zahra College Preschool</t>
        </is>
      </c>
      <c r="C142" t="inlineStr">
        <is>
          <t>ARNCLIFFE</t>
        </is>
      </c>
      <c r="D142" t="inlineStr">
        <is>
          <t>2205</t>
        </is>
      </c>
      <c r="E142" t="n">
        <v>29</v>
      </c>
      <c r="F142" t="inlineStr">
        <is>
          <t>Meeting NQS</t>
        </is>
      </c>
      <c r="G142" t="inlineStr">
        <is>
          <t>Yes</t>
        </is>
      </c>
      <c r="H142" t="inlineStr">
        <is>
          <t>No</t>
        </is>
      </c>
      <c r="I142" t="inlineStr">
        <is>
          <t>Yes</t>
        </is>
      </c>
      <c r="J142" t="inlineStr">
        <is>
          <t>No</t>
        </is>
      </c>
      <c r="K142">
        <f>IFERROR(VLOOKUP(UPPER(C142),Suburb_LGA_Map!$A:$B,2,FALSE),"")</f>
        <v/>
      </c>
    </row>
    <row r="143">
      <c r="A143" t="inlineStr">
        <is>
          <t>SE-00006399</t>
        </is>
      </c>
      <c r="B143" t="inlineStr">
        <is>
          <t>Albyn Cottage Child Care Centre</t>
        </is>
      </c>
      <c r="C143" t="inlineStr">
        <is>
          <t>BEXLEY</t>
        </is>
      </c>
      <c r="D143" t="inlineStr">
        <is>
          <t>2207</t>
        </is>
      </c>
      <c r="E143" t="n">
        <v>29</v>
      </c>
      <c r="F143" t="inlineStr">
        <is>
          <t>Meeting NQS</t>
        </is>
      </c>
      <c r="G143" t="inlineStr">
        <is>
          <t>Yes</t>
        </is>
      </c>
      <c r="H143" t="inlineStr">
        <is>
          <t>No</t>
        </is>
      </c>
      <c r="I143" t="inlineStr">
        <is>
          <t>No</t>
        </is>
      </c>
      <c r="J143" t="inlineStr">
        <is>
          <t>No</t>
        </is>
      </c>
      <c r="K143">
        <f>IFERROR(VLOOKUP(UPPER(C143),Suburb_LGA_Map!$A:$B,2,FALSE),"")</f>
        <v/>
      </c>
    </row>
    <row r="144">
      <c r="A144" t="inlineStr">
        <is>
          <t>SE-00006405</t>
        </is>
      </c>
      <c r="B144" t="inlineStr">
        <is>
          <t>All Star Early Learners</t>
        </is>
      </c>
      <c r="C144" t="inlineStr">
        <is>
          <t>BOTANY</t>
        </is>
      </c>
      <c r="D144" t="inlineStr">
        <is>
          <t>2019</t>
        </is>
      </c>
      <c r="E144" t="n">
        <v>48</v>
      </c>
      <c r="F144" t="inlineStr">
        <is>
          <t>Meeting NQS</t>
        </is>
      </c>
      <c r="G144" t="inlineStr">
        <is>
          <t>Yes</t>
        </is>
      </c>
      <c r="H144" t="inlineStr">
        <is>
          <t>No</t>
        </is>
      </c>
      <c r="I144" t="inlineStr">
        <is>
          <t>No</t>
        </is>
      </c>
      <c r="J144" t="inlineStr">
        <is>
          <t>No</t>
        </is>
      </c>
      <c r="K144">
        <f>IFERROR(VLOOKUP(UPPER(C144),Suburb_LGA_Map!$A:$B,2,FALSE),"")</f>
        <v/>
      </c>
    </row>
    <row r="145">
      <c r="A145" t="inlineStr">
        <is>
          <t>SE-00006412</t>
        </is>
      </c>
      <c r="B145" t="inlineStr">
        <is>
          <t>Noahs Ark Learning Academy Eastlakes</t>
        </is>
      </c>
      <c r="C145" t="inlineStr">
        <is>
          <t>EASTLAKES</t>
        </is>
      </c>
      <c r="D145" t="inlineStr">
        <is>
          <t>2018</t>
        </is>
      </c>
      <c r="E145" t="n">
        <v>39</v>
      </c>
      <c r="F145" t="inlineStr">
        <is>
          <t>Meeting NQS</t>
        </is>
      </c>
      <c r="G145" t="inlineStr">
        <is>
          <t>Yes</t>
        </is>
      </c>
      <c r="H145" t="inlineStr">
        <is>
          <t>No</t>
        </is>
      </c>
      <c r="I145" t="inlineStr">
        <is>
          <t>No</t>
        </is>
      </c>
      <c r="J145" t="inlineStr">
        <is>
          <t>No</t>
        </is>
      </c>
      <c r="K145">
        <f>IFERROR(VLOOKUP(UPPER(C145),Suburb_LGA_Map!$A:$B,2,FALSE),"")</f>
        <v/>
      </c>
    </row>
    <row r="146">
      <c r="A146" t="inlineStr">
        <is>
          <t>SE-40017923</t>
        </is>
      </c>
      <c r="B146" t="inlineStr">
        <is>
          <t>Kids Academy Killara</t>
        </is>
      </c>
      <c r="C146" t="inlineStr">
        <is>
          <t>KILLARA</t>
        </is>
      </c>
      <c r="D146" t="inlineStr">
        <is>
          <t>2071</t>
        </is>
      </c>
      <c r="E146" t="n">
        <v>49</v>
      </c>
      <c r="F146" t="inlineStr">
        <is>
          <t>Exceeding NQS</t>
        </is>
      </c>
      <c r="G146" t="inlineStr">
        <is>
          <t>Yes</t>
        </is>
      </c>
      <c r="H146" t="inlineStr">
        <is>
          <t>No</t>
        </is>
      </c>
      <c r="I146" t="inlineStr">
        <is>
          <t>No</t>
        </is>
      </c>
      <c r="J146" t="inlineStr">
        <is>
          <t>No</t>
        </is>
      </c>
      <c r="K146">
        <f>IFERROR(VLOOKUP(UPPER(C146),Suburb_LGA_Map!$A:$B,2,FALSE),"")</f>
        <v/>
      </c>
    </row>
    <row r="147">
      <c r="A147" t="inlineStr">
        <is>
          <t>SE-00009562</t>
        </is>
      </c>
      <c r="B147" t="inlineStr">
        <is>
          <t>Willow Cottage Early Learning Centre</t>
        </is>
      </c>
      <c r="C147" t="inlineStr">
        <is>
          <t>NORTH SYDNEY</t>
        </is>
      </c>
      <c r="D147" t="inlineStr">
        <is>
          <t>2060</t>
        </is>
      </c>
      <c r="E147" t="n">
        <v>55</v>
      </c>
      <c r="F147" t="inlineStr">
        <is>
          <t>Meeting NQS</t>
        </is>
      </c>
      <c r="G147" t="inlineStr">
        <is>
          <t>Yes</t>
        </is>
      </c>
      <c r="H147" t="inlineStr">
        <is>
          <t>No</t>
        </is>
      </c>
      <c r="I147" t="inlineStr">
        <is>
          <t>No</t>
        </is>
      </c>
      <c r="J147" t="inlineStr">
        <is>
          <t>No</t>
        </is>
      </c>
      <c r="K147">
        <f>IFERROR(VLOOKUP(UPPER(C147),Suburb_LGA_Map!$A:$B,2,FALSE),"")</f>
        <v/>
      </c>
    </row>
    <row r="148">
      <c r="A148" t="inlineStr">
        <is>
          <t>SE-00009635</t>
        </is>
      </c>
      <c r="B148" t="inlineStr">
        <is>
          <t>Noahs Ark Learning Academy Botany</t>
        </is>
      </c>
      <c r="C148" t="inlineStr">
        <is>
          <t>BOTANY</t>
        </is>
      </c>
      <c r="D148" t="inlineStr">
        <is>
          <t>2019</t>
        </is>
      </c>
      <c r="E148" t="n">
        <v>33</v>
      </c>
      <c r="F148" t="inlineStr">
        <is>
          <t>Meeting NQS</t>
        </is>
      </c>
      <c r="G148" t="inlineStr">
        <is>
          <t>Yes</t>
        </is>
      </c>
      <c r="H148" t="inlineStr">
        <is>
          <t>No</t>
        </is>
      </c>
      <c r="I148" t="inlineStr">
        <is>
          <t>No</t>
        </is>
      </c>
      <c r="J148" t="inlineStr">
        <is>
          <t>No</t>
        </is>
      </c>
      <c r="K148">
        <f>IFERROR(VLOOKUP(UPPER(C148),Suburb_LGA_Map!$A:$B,2,FALSE),"")</f>
        <v/>
      </c>
    </row>
    <row r="149">
      <c r="A149" t="inlineStr">
        <is>
          <t>SE-00009636</t>
        </is>
      </c>
      <c r="B149" t="inlineStr">
        <is>
          <t>Edward Street Early Learning Centre</t>
        </is>
      </c>
      <c r="C149" t="inlineStr">
        <is>
          <t>BOTANY</t>
        </is>
      </c>
      <c r="D149" t="inlineStr">
        <is>
          <t>2019</t>
        </is>
      </c>
      <c r="E149" t="n">
        <v>45</v>
      </c>
      <c r="F149" t="inlineStr">
        <is>
          <t>Meeting NQS</t>
        </is>
      </c>
      <c r="G149" t="inlineStr">
        <is>
          <t>Yes</t>
        </is>
      </c>
      <c r="H149" t="inlineStr">
        <is>
          <t>No</t>
        </is>
      </c>
      <c r="I149" t="inlineStr">
        <is>
          <t>No</t>
        </is>
      </c>
      <c r="J149" t="inlineStr">
        <is>
          <t>No</t>
        </is>
      </c>
      <c r="K149">
        <f>IFERROR(VLOOKUP(UPPER(C149),Suburb_LGA_Map!$A:$B,2,FALSE),"")</f>
        <v/>
      </c>
    </row>
    <row r="150">
      <c r="A150" t="inlineStr">
        <is>
          <t>SE-00007377</t>
        </is>
      </c>
      <c r="B150" t="inlineStr">
        <is>
          <t>Gordon Community Preschool</t>
        </is>
      </c>
      <c r="C150" t="inlineStr">
        <is>
          <t>GORDON</t>
        </is>
      </c>
      <c r="D150" t="inlineStr">
        <is>
          <t>2072</t>
        </is>
      </c>
      <c r="E150" t="n">
        <v>74</v>
      </c>
      <c r="F150" t="inlineStr">
        <is>
          <t>Exceeding NQS</t>
        </is>
      </c>
      <c r="G150" t="inlineStr">
        <is>
          <t>No</t>
        </is>
      </c>
      <c r="H150" t="inlineStr">
        <is>
          <t>Yes</t>
        </is>
      </c>
      <c r="I150" t="inlineStr">
        <is>
          <t>No</t>
        </is>
      </c>
      <c r="J150" t="inlineStr">
        <is>
          <t>No</t>
        </is>
      </c>
      <c r="K150">
        <f>IFERROR(VLOOKUP(UPPER(C150),Suburb_LGA_Map!$A:$B,2,FALSE),"")</f>
        <v/>
      </c>
    </row>
    <row r="151">
      <c r="A151" t="inlineStr">
        <is>
          <t>SE-00007400</t>
        </is>
      </c>
      <c r="B151" t="inlineStr">
        <is>
          <t>Green Gables Kindergarten</t>
        </is>
      </c>
      <c r="C151" t="inlineStr">
        <is>
          <t>SANS SOUCI</t>
        </is>
      </c>
      <c r="D151" t="inlineStr">
        <is>
          <t>2219</t>
        </is>
      </c>
      <c r="E151" t="n">
        <v>60</v>
      </c>
      <c r="F151" t="inlineStr">
        <is>
          <t>Exceeding NQS</t>
        </is>
      </c>
      <c r="G151" t="inlineStr">
        <is>
          <t>Yes</t>
        </is>
      </c>
      <c r="H151" t="inlineStr">
        <is>
          <t>No</t>
        </is>
      </c>
      <c r="I151" t="inlineStr">
        <is>
          <t>No</t>
        </is>
      </c>
      <c r="J151" t="inlineStr">
        <is>
          <t>No</t>
        </is>
      </c>
      <c r="K151">
        <f>IFERROR(VLOOKUP(UPPER(C151),Suburb_LGA_Map!$A:$B,2,FALSE),"")</f>
        <v/>
      </c>
    </row>
    <row r="152">
      <c r="A152" t="inlineStr">
        <is>
          <t>SE-00007435</t>
        </is>
      </c>
      <c r="B152" t="inlineStr">
        <is>
          <t>CASS Gumnut Early Learning Centre - St Leonards</t>
        </is>
      </c>
      <c r="C152" t="inlineStr">
        <is>
          <t>ST LEONARDS</t>
        </is>
      </c>
      <c r="D152" t="inlineStr">
        <is>
          <t>2065</t>
        </is>
      </c>
      <c r="E152" t="n">
        <v>45</v>
      </c>
      <c r="F152" t="inlineStr">
        <is>
          <t>Meeting NQS</t>
        </is>
      </c>
      <c r="G152" t="inlineStr">
        <is>
          <t>Yes</t>
        </is>
      </c>
      <c r="H152" t="inlineStr">
        <is>
          <t>No</t>
        </is>
      </c>
      <c r="I152" t="inlineStr">
        <is>
          <t>No</t>
        </is>
      </c>
      <c r="J152" t="inlineStr">
        <is>
          <t>No</t>
        </is>
      </c>
      <c r="K152">
        <f>IFERROR(VLOOKUP(UPPER(C152),Suburb_LGA_Map!$A:$B,2,FALSE),"")</f>
        <v/>
      </c>
    </row>
    <row r="153">
      <c r="A153" t="inlineStr">
        <is>
          <t>SE-00007449</t>
        </is>
      </c>
      <c r="B153" t="inlineStr">
        <is>
          <t>Rawson St Kids</t>
        </is>
      </c>
      <c r="C153" t="inlineStr">
        <is>
          <t>BEXLEY</t>
        </is>
      </c>
      <c r="D153" t="inlineStr">
        <is>
          <t>2207</t>
        </is>
      </c>
      <c r="E153" t="n">
        <v>29</v>
      </c>
      <c r="F153" t="inlineStr">
        <is>
          <t>Meeting NQS</t>
        </is>
      </c>
      <c r="G153" t="inlineStr">
        <is>
          <t>Yes</t>
        </is>
      </c>
      <c r="H153" t="inlineStr">
        <is>
          <t>No</t>
        </is>
      </c>
      <c r="I153" t="inlineStr">
        <is>
          <t>No</t>
        </is>
      </c>
      <c r="J153" t="inlineStr">
        <is>
          <t>No</t>
        </is>
      </c>
      <c r="K153">
        <f>IFERROR(VLOOKUP(UPPER(C153),Suburb_LGA_Map!$A:$B,2,FALSE),"")</f>
        <v/>
      </c>
    </row>
    <row r="154">
      <c r="A154" t="inlineStr">
        <is>
          <t>SE-00007456</t>
        </is>
      </c>
      <c r="B154" t="inlineStr">
        <is>
          <t>Guthrie Child Care Centre</t>
        </is>
      </c>
      <c r="C154" t="inlineStr">
        <is>
          <t>WOLLSTONECRAFT</t>
        </is>
      </c>
      <c r="D154" t="inlineStr">
        <is>
          <t>2065</t>
        </is>
      </c>
      <c r="E154" t="n">
        <v>42</v>
      </c>
      <c r="F154" t="inlineStr">
        <is>
          <t>Exceeding NQS</t>
        </is>
      </c>
      <c r="G154" t="inlineStr">
        <is>
          <t>Yes</t>
        </is>
      </c>
      <c r="H154" t="inlineStr">
        <is>
          <t>No</t>
        </is>
      </c>
      <c r="I154" t="inlineStr">
        <is>
          <t>No</t>
        </is>
      </c>
      <c r="J154" t="inlineStr">
        <is>
          <t>No</t>
        </is>
      </c>
      <c r="K154">
        <f>IFERROR(VLOOKUP(UPPER(C154),Suburb_LGA_Map!$A:$B,2,FALSE),"")</f>
        <v/>
      </c>
    </row>
    <row r="155">
      <c r="A155" t="inlineStr">
        <is>
          <t>SE-40026249</t>
        </is>
      </c>
      <c r="B155" t="inlineStr">
        <is>
          <t>Turramurra Kindergarten Pty Ltd</t>
        </is>
      </c>
      <c r="C155" t="inlineStr">
        <is>
          <t>NORTH TURRAMURRA</t>
        </is>
      </c>
      <c r="D155" t="inlineStr">
        <is>
          <t>2074</t>
        </is>
      </c>
      <c r="E155" t="n">
        <v>50</v>
      </c>
      <c r="F155" t="inlineStr">
        <is>
          <t>Meeting NQS</t>
        </is>
      </c>
      <c r="G155" t="inlineStr">
        <is>
          <t>Yes</t>
        </is>
      </c>
      <c r="H155" t="inlineStr">
        <is>
          <t>No</t>
        </is>
      </c>
      <c r="I155" t="inlineStr">
        <is>
          <t>No</t>
        </is>
      </c>
      <c r="J155" t="inlineStr">
        <is>
          <t>No</t>
        </is>
      </c>
      <c r="K155">
        <f>IFERROR(VLOOKUP(UPPER(C155),Suburb_LGA_Map!$A:$B,2,FALSE),"")</f>
        <v/>
      </c>
    </row>
    <row r="156">
      <c r="A156" t="inlineStr">
        <is>
          <t>SE-00012180</t>
        </is>
      </c>
      <c r="B156" t="inlineStr">
        <is>
          <t>TeamKids - Botany Public School</t>
        </is>
      </c>
      <c r="C156" t="inlineStr">
        <is>
          <t>BOTANY</t>
        </is>
      </c>
      <c r="D156" t="inlineStr">
        <is>
          <t>2019</t>
        </is>
      </c>
      <c r="E156" t="n">
        <v>80</v>
      </c>
      <c r="F156" t="inlineStr">
        <is>
          <t>Meeting NQS</t>
        </is>
      </c>
      <c r="G156" t="inlineStr">
        <is>
          <t>No</t>
        </is>
      </c>
      <c r="H156" t="inlineStr">
        <is>
          <t>No</t>
        </is>
      </c>
      <c r="I156" t="inlineStr">
        <is>
          <t>No</t>
        </is>
      </c>
      <c r="J156" t="inlineStr">
        <is>
          <t>Yes</t>
        </is>
      </c>
      <c r="K156">
        <f>IFERROR(VLOOKUP(UPPER(C156),Suburb_LGA_Map!$A:$B,2,FALSE),"")</f>
        <v/>
      </c>
    </row>
    <row r="157">
      <c r="A157" t="inlineStr">
        <is>
          <t>SE-00012181</t>
        </is>
      </c>
      <c r="B157" t="inlineStr">
        <is>
          <t>Star Club Pagewood Public School</t>
        </is>
      </c>
      <c r="C157" t="inlineStr">
        <is>
          <t>PAGEWOOD</t>
        </is>
      </c>
      <c r="D157" t="inlineStr">
        <is>
          <t>2035</t>
        </is>
      </c>
      <c r="E157" t="n">
        <v>120</v>
      </c>
      <c r="F157" t="inlineStr">
        <is>
          <t>Meeting NQS</t>
        </is>
      </c>
      <c r="G157" t="inlineStr">
        <is>
          <t>No</t>
        </is>
      </c>
      <c r="H157" t="inlineStr">
        <is>
          <t>No</t>
        </is>
      </c>
      <c r="I157" t="inlineStr">
        <is>
          <t>No</t>
        </is>
      </c>
      <c r="J157" t="inlineStr">
        <is>
          <t>Yes</t>
        </is>
      </c>
      <c r="K157">
        <f>IFERROR(VLOOKUP(UPPER(C157),Suburb_LGA_Map!$A:$B,2,FALSE),"")</f>
        <v/>
      </c>
    </row>
    <row r="158">
      <c r="A158" t="inlineStr">
        <is>
          <t>SE-00012183</t>
        </is>
      </c>
      <c r="B158" t="inlineStr">
        <is>
          <t>Waitara Before &amp; After School Care Inc</t>
        </is>
      </c>
      <c r="C158" t="inlineStr">
        <is>
          <t>WAHROONGA</t>
        </is>
      </c>
      <c r="D158" t="inlineStr">
        <is>
          <t>2076</t>
        </is>
      </c>
      <c r="E158" t="n">
        <v>330</v>
      </c>
      <c r="F158" t="inlineStr">
        <is>
          <t>Meeting NQS</t>
        </is>
      </c>
      <c r="G158" t="inlineStr">
        <is>
          <t>No</t>
        </is>
      </c>
      <c r="H158" t="inlineStr">
        <is>
          <t>No</t>
        </is>
      </c>
      <c r="I158" t="inlineStr">
        <is>
          <t>No</t>
        </is>
      </c>
      <c r="J158" t="inlineStr">
        <is>
          <t>Yes</t>
        </is>
      </c>
      <c r="K158">
        <f>IFERROR(VLOOKUP(UPPER(C158),Suburb_LGA_Map!$A:$B,2,FALSE),"")</f>
        <v/>
      </c>
    </row>
    <row r="159">
      <c r="A159" t="inlineStr">
        <is>
          <t>SE-00012220</t>
        </is>
      </c>
      <c r="B159" t="inlineStr">
        <is>
          <t>Lindfield East Before and After School Care</t>
        </is>
      </c>
      <c r="C159" t="inlineStr">
        <is>
          <t>LINDFIELD</t>
        </is>
      </c>
      <c r="D159" t="inlineStr">
        <is>
          <t>2070</t>
        </is>
      </c>
      <c r="E159" t="n">
        <v>85</v>
      </c>
      <c r="F159" t="inlineStr">
        <is>
          <t>Meeting NQS</t>
        </is>
      </c>
      <c r="G159" t="inlineStr">
        <is>
          <t>No</t>
        </is>
      </c>
      <c r="H159" t="inlineStr">
        <is>
          <t>No</t>
        </is>
      </c>
      <c r="I159" t="inlineStr">
        <is>
          <t>No</t>
        </is>
      </c>
      <c r="J159" t="inlineStr">
        <is>
          <t>Yes</t>
        </is>
      </c>
      <c r="K159">
        <f>IFERROR(VLOOKUP(UPPER(C159),Suburb_LGA_Map!$A:$B,2,FALSE),"")</f>
        <v/>
      </c>
    </row>
    <row r="160">
      <c r="A160" t="inlineStr">
        <is>
          <t>SE-00012232</t>
        </is>
      </c>
      <c r="B160" t="inlineStr">
        <is>
          <t>Gardeners Road OSHCLUB</t>
        </is>
      </c>
      <c r="C160" t="inlineStr">
        <is>
          <t>ROSEBERY</t>
        </is>
      </c>
      <c r="D160" t="inlineStr">
        <is>
          <t>2018</t>
        </is>
      </c>
      <c r="E160" t="n">
        <v>119</v>
      </c>
      <c r="F160" t="inlineStr">
        <is>
          <t>Meeting NQS</t>
        </is>
      </c>
      <c r="G160" t="inlineStr">
        <is>
          <t>No</t>
        </is>
      </c>
      <c r="H160" t="inlineStr">
        <is>
          <t>No</t>
        </is>
      </c>
      <c r="I160" t="inlineStr">
        <is>
          <t>No</t>
        </is>
      </c>
      <c r="J160" t="inlineStr">
        <is>
          <t>Yes</t>
        </is>
      </c>
      <c r="K160">
        <f>IFERROR(VLOOKUP(UPPER(C160),Suburb_LGA_Map!$A:$B,2,FALSE),"")</f>
        <v/>
      </c>
    </row>
    <row r="161">
      <c r="A161" t="inlineStr">
        <is>
          <t>SE-00012242</t>
        </is>
      </c>
      <c r="B161" t="inlineStr">
        <is>
          <t>Knox Grammar OSHClub</t>
        </is>
      </c>
      <c r="C161" t="inlineStr">
        <is>
          <t>WAHROONGA</t>
        </is>
      </c>
      <c r="D161" t="inlineStr">
        <is>
          <t>2076</t>
        </is>
      </c>
      <c r="E161" t="n">
        <v>90</v>
      </c>
      <c r="F161" t="inlineStr">
        <is>
          <t>Meeting NQS</t>
        </is>
      </c>
      <c r="G161" t="inlineStr">
        <is>
          <t>No</t>
        </is>
      </c>
      <c r="H161" t="inlineStr">
        <is>
          <t>No</t>
        </is>
      </c>
      <c r="I161" t="inlineStr">
        <is>
          <t>No</t>
        </is>
      </c>
      <c r="J161" t="inlineStr">
        <is>
          <t>Yes</t>
        </is>
      </c>
      <c r="K161">
        <f>IFERROR(VLOOKUP(UPPER(C161),Suburb_LGA_Map!$A:$B,2,FALSE),"")</f>
        <v/>
      </c>
    </row>
    <row r="162">
      <c r="A162" t="inlineStr">
        <is>
          <t>SE-40007487</t>
        </is>
      </c>
      <c r="B162" t="inlineStr">
        <is>
          <t>Good Hands</t>
        </is>
      </c>
      <c r="C162" t="inlineStr">
        <is>
          <t>SOUTH TURRAMURRA</t>
        </is>
      </c>
      <c r="D162" t="inlineStr">
        <is>
          <t>2074</t>
        </is>
      </c>
      <c r="E162" t="n">
        <v>25</v>
      </c>
      <c r="F162" t="inlineStr">
        <is>
          <t>Meeting NQS</t>
        </is>
      </c>
      <c r="G162" t="inlineStr">
        <is>
          <t>Yes</t>
        </is>
      </c>
      <c r="H162" t="inlineStr">
        <is>
          <t>No</t>
        </is>
      </c>
      <c r="I162" t="inlineStr">
        <is>
          <t>No</t>
        </is>
      </c>
      <c r="J162" t="inlineStr">
        <is>
          <t>No</t>
        </is>
      </c>
      <c r="K162">
        <f>IFERROR(VLOOKUP(UPPER(C162),Suburb_LGA_Map!$A:$B,2,FALSE),"")</f>
        <v/>
      </c>
    </row>
    <row r="163">
      <c r="A163" t="inlineStr">
        <is>
          <t>SE-40023424</t>
        </is>
      </c>
      <c r="B163" t="inlineStr">
        <is>
          <t>SCECS OSHC St Thomas More's Brighton-Le-Sands</t>
        </is>
      </c>
      <c r="C163" t="inlineStr">
        <is>
          <t>BRIGHTON-LE-SANDS</t>
        </is>
      </c>
      <c r="D163" t="inlineStr">
        <is>
          <t>2216</t>
        </is>
      </c>
      <c r="E163" t="n">
        <v>60</v>
      </c>
      <c r="F163" t="inlineStr">
        <is>
          <t>Meeting NQS</t>
        </is>
      </c>
      <c r="G163" t="inlineStr">
        <is>
          <t>No</t>
        </is>
      </c>
      <c r="H163" t="inlineStr">
        <is>
          <t>No</t>
        </is>
      </c>
      <c r="I163" t="inlineStr">
        <is>
          <t>No</t>
        </is>
      </c>
      <c r="J163" t="inlineStr">
        <is>
          <t>Yes</t>
        </is>
      </c>
      <c r="K163">
        <f>IFERROR(VLOOKUP(UPPER(C163),Suburb_LGA_Map!$A:$B,2,FALSE),"")</f>
        <v/>
      </c>
    </row>
    <row r="164">
      <c r="A164" t="inlineStr">
        <is>
          <t>SE-00011273</t>
        </is>
      </c>
      <c r="B164" t="inlineStr">
        <is>
          <t>The Earlier The Better Early Education</t>
        </is>
      </c>
      <c r="C164" t="inlineStr">
        <is>
          <t>ARNCLIFFE</t>
        </is>
      </c>
      <c r="D164" t="inlineStr">
        <is>
          <t>2205</t>
        </is>
      </c>
      <c r="E164" t="n">
        <v>41</v>
      </c>
      <c r="F164" t="inlineStr">
        <is>
          <t>Meeting NQS</t>
        </is>
      </c>
      <c r="G164" t="inlineStr">
        <is>
          <t>Yes</t>
        </is>
      </c>
      <c r="H164" t="inlineStr">
        <is>
          <t>No</t>
        </is>
      </c>
      <c r="I164" t="inlineStr">
        <is>
          <t>No</t>
        </is>
      </c>
      <c r="J164" t="inlineStr">
        <is>
          <t>No</t>
        </is>
      </c>
      <c r="K164">
        <f>IFERROR(VLOOKUP(UPPER(C164),Suburb_LGA_Map!$A:$B,2,FALSE),"")</f>
        <v/>
      </c>
    </row>
    <row r="165">
      <c r="A165" t="inlineStr">
        <is>
          <t>SE-40027812</t>
        </is>
      </c>
      <c r="B165" t="inlineStr">
        <is>
          <t>SCECS OSHC St Joseph's Rosebery</t>
        </is>
      </c>
      <c r="C165" t="inlineStr">
        <is>
          <t>ROSEBERY</t>
        </is>
      </c>
      <c r="D165" t="inlineStr">
        <is>
          <t>2018</t>
        </is>
      </c>
      <c r="E165" t="n">
        <v>90</v>
      </c>
      <c r="F165" t="inlineStr">
        <is>
          <t>Meeting NQS</t>
        </is>
      </c>
      <c r="G165" t="inlineStr">
        <is>
          <t>No</t>
        </is>
      </c>
      <c r="H165" t="inlineStr">
        <is>
          <t>No</t>
        </is>
      </c>
      <c r="I165" t="inlineStr">
        <is>
          <t>No</t>
        </is>
      </c>
      <c r="J165" t="inlineStr">
        <is>
          <t>Yes</t>
        </is>
      </c>
      <c r="K165">
        <f>IFERROR(VLOOKUP(UPPER(C165),Suburb_LGA_Map!$A:$B,2,FALSE),"")</f>
        <v/>
      </c>
    </row>
    <row r="166">
      <c r="A166" t="inlineStr">
        <is>
          <t>SE-40015254</t>
        </is>
      </c>
      <c r="B166" t="inlineStr">
        <is>
          <t>Lindfield Learning Village TheirCare</t>
        </is>
      </c>
      <c r="C166" t="inlineStr">
        <is>
          <t>LINDFIELD</t>
        </is>
      </c>
      <c r="D166" t="inlineStr">
        <is>
          <t>2070</t>
        </is>
      </c>
      <c r="E166" t="n">
        <v>80</v>
      </c>
      <c r="F166" t="inlineStr">
        <is>
          <t>Meeting NQS</t>
        </is>
      </c>
      <c r="G166" t="inlineStr">
        <is>
          <t>No</t>
        </is>
      </c>
      <c r="H166" t="inlineStr">
        <is>
          <t>No</t>
        </is>
      </c>
      <c r="I166" t="inlineStr">
        <is>
          <t>No</t>
        </is>
      </c>
      <c r="J166" t="inlineStr">
        <is>
          <t>Yes</t>
        </is>
      </c>
      <c r="K166">
        <f>IFERROR(VLOOKUP(UPPER(C166),Suburb_LGA_Map!$A:$B,2,FALSE),"")</f>
        <v/>
      </c>
    </row>
    <row r="167">
      <c r="A167" t="inlineStr">
        <is>
          <t>SE-40015607</t>
        </is>
      </c>
      <c r="B167" t="inlineStr">
        <is>
          <t>Turramurra Montessori Academy</t>
        </is>
      </c>
      <c r="C167" t="inlineStr">
        <is>
          <t>SOUTH TURRAMURRA</t>
        </is>
      </c>
      <c r="D167" t="inlineStr">
        <is>
          <t>2074</t>
        </is>
      </c>
      <c r="E167" t="n">
        <v>52</v>
      </c>
      <c r="F167" t="inlineStr">
        <is>
          <t>Exceeding NQS</t>
        </is>
      </c>
      <c r="G167" t="inlineStr">
        <is>
          <t>Yes</t>
        </is>
      </c>
      <c r="H167" t="inlineStr">
        <is>
          <t>No</t>
        </is>
      </c>
      <c r="I167" t="inlineStr">
        <is>
          <t>No</t>
        </is>
      </c>
      <c r="J167" t="inlineStr">
        <is>
          <t>No</t>
        </is>
      </c>
      <c r="K167">
        <f>IFERROR(VLOOKUP(UPPER(C167),Suburb_LGA_Map!$A:$B,2,FALSE),"")</f>
        <v/>
      </c>
    </row>
    <row r="168">
      <c r="A168" t="inlineStr">
        <is>
          <t>SE-00018110</t>
        </is>
      </c>
      <c r="B168" t="inlineStr">
        <is>
          <t>Elouera Children's Centre</t>
        </is>
      </c>
      <c r="C168" t="inlineStr">
        <is>
          <t>EASTGARDENS</t>
        </is>
      </c>
      <c r="D168" t="inlineStr">
        <is>
          <t>2036</t>
        </is>
      </c>
      <c r="E168" t="n">
        <v>75</v>
      </c>
      <c r="F168" t="inlineStr"/>
      <c r="G168" t="inlineStr">
        <is>
          <t>Yes</t>
        </is>
      </c>
      <c r="H168" t="inlineStr">
        <is>
          <t>No</t>
        </is>
      </c>
      <c r="I168" t="inlineStr">
        <is>
          <t>No</t>
        </is>
      </c>
      <c r="J168" t="inlineStr">
        <is>
          <t>No</t>
        </is>
      </c>
      <c r="K168">
        <f>IFERROR(VLOOKUP(UPPER(C168),Suburb_LGA_Map!$A:$B,2,FALSE),"")</f>
        <v/>
      </c>
    </row>
    <row r="169">
      <c r="A169" t="inlineStr">
        <is>
          <t>SE-00008919</t>
        </is>
      </c>
      <c r="B169" t="inlineStr">
        <is>
          <t>Sans Souci Community Preschool</t>
        </is>
      </c>
      <c r="C169" t="inlineStr">
        <is>
          <t>SANS SOUCI</t>
        </is>
      </c>
      <c r="D169" t="inlineStr">
        <is>
          <t>2219</t>
        </is>
      </c>
      <c r="E169" t="n">
        <v>72</v>
      </c>
      <c r="F169" t="inlineStr">
        <is>
          <t>Exceeding NQS</t>
        </is>
      </c>
      <c r="G169" t="inlineStr">
        <is>
          <t>No</t>
        </is>
      </c>
      <c r="H169" t="inlineStr">
        <is>
          <t>Yes</t>
        </is>
      </c>
      <c r="I169" t="inlineStr">
        <is>
          <t>No</t>
        </is>
      </c>
      <c r="J169" t="inlineStr">
        <is>
          <t>No</t>
        </is>
      </c>
      <c r="K169">
        <f>IFERROR(VLOOKUP(UPPER(C169),Suburb_LGA_Map!$A:$B,2,FALSE),"")</f>
        <v/>
      </c>
    </row>
    <row r="170">
      <c r="A170" t="inlineStr">
        <is>
          <t>SE-00008949</t>
        </is>
      </c>
      <c r="B170" t="inlineStr">
        <is>
          <t>SDN North Sydney Children's Education and Care Centre</t>
        </is>
      </c>
      <c r="C170" t="inlineStr">
        <is>
          <t>CROWS NEST</t>
        </is>
      </c>
      <c r="D170" t="inlineStr">
        <is>
          <t>2065</t>
        </is>
      </c>
      <c r="E170" t="n">
        <v>75</v>
      </c>
      <c r="F170" t="inlineStr">
        <is>
          <t>Exceeding NQS</t>
        </is>
      </c>
      <c r="G170" t="inlineStr">
        <is>
          <t>Yes</t>
        </is>
      </c>
      <c r="H170" t="inlineStr">
        <is>
          <t>No</t>
        </is>
      </c>
      <c r="I170" t="inlineStr">
        <is>
          <t>No</t>
        </is>
      </c>
      <c r="J170" t="inlineStr">
        <is>
          <t>No</t>
        </is>
      </c>
      <c r="K170">
        <f>IFERROR(VLOOKUP(UPPER(C170),Suburb_LGA_Map!$A:$B,2,FALSE),"")</f>
        <v/>
      </c>
    </row>
    <row r="171">
      <c r="A171" t="inlineStr">
        <is>
          <t>SE-00008977</t>
        </is>
      </c>
      <c r="B171" t="inlineStr">
        <is>
          <t>Shellytots Preschool &amp; Long Daycare Centre</t>
        </is>
      </c>
      <c r="C171" t="inlineStr">
        <is>
          <t>ST IVES</t>
        </is>
      </c>
      <c r="D171" t="inlineStr">
        <is>
          <t>2075</t>
        </is>
      </c>
      <c r="E171" t="n">
        <v>36</v>
      </c>
      <c r="F171" t="inlineStr">
        <is>
          <t>Meeting NQS</t>
        </is>
      </c>
      <c r="G171" t="inlineStr">
        <is>
          <t>Yes</t>
        </is>
      </c>
      <c r="H171" t="inlineStr">
        <is>
          <t>No</t>
        </is>
      </c>
      <c r="I171" t="inlineStr">
        <is>
          <t>No</t>
        </is>
      </c>
      <c r="J171" t="inlineStr">
        <is>
          <t>No</t>
        </is>
      </c>
      <c r="K171">
        <f>IFERROR(VLOOKUP(UPPER(C171),Suburb_LGA_Map!$A:$B,2,FALSE),"")</f>
        <v/>
      </c>
    </row>
    <row r="172">
      <c r="A172" t="inlineStr">
        <is>
          <t>SE-00008981</t>
        </is>
      </c>
      <c r="B172" t="inlineStr">
        <is>
          <t>Shining Stars Childcare Centre</t>
        </is>
      </c>
      <c r="C172" t="inlineStr">
        <is>
          <t>BRIGHTON-LE-SANDS</t>
        </is>
      </c>
      <c r="D172" t="inlineStr">
        <is>
          <t>2216</t>
        </is>
      </c>
      <c r="E172" t="n">
        <v>43</v>
      </c>
      <c r="F172" t="inlineStr">
        <is>
          <t>Exceeding NQS</t>
        </is>
      </c>
      <c r="G172" t="inlineStr">
        <is>
          <t>Yes</t>
        </is>
      </c>
      <c r="H172" t="inlineStr">
        <is>
          <t>No</t>
        </is>
      </c>
      <c r="I172" t="inlineStr">
        <is>
          <t>No</t>
        </is>
      </c>
      <c r="J172" t="inlineStr">
        <is>
          <t>No</t>
        </is>
      </c>
      <c r="K172">
        <f>IFERROR(VLOOKUP(UPPER(C172),Suburb_LGA_Map!$A:$B,2,FALSE),"")</f>
        <v/>
      </c>
    </row>
    <row r="173">
      <c r="A173" t="inlineStr">
        <is>
          <t>SE-00008985</t>
        </is>
      </c>
      <c r="B173" t="inlineStr">
        <is>
          <t>Gowrie NSW Shirley Road Preschool Crows Nest</t>
        </is>
      </c>
      <c r="C173" t="inlineStr">
        <is>
          <t>CROWS NEST</t>
        </is>
      </c>
      <c r="D173" t="inlineStr">
        <is>
          <t>2065</t>
        </is>
      </c>
      <c r="E173" t="n">
        <v>25</v>
      </c>
      <c r="F173" t="inlineStr">
        <is>
          <t>Exceeding NQS</t>
        </is>
      </c>
      <c r="G173" t="inlineStr">
        <is>
          <t>No</t>
        </is>
      </c>
      <c r="H173" t="inlineStr">
        <is>
          <t>Yes</t>
        </is>
      </c>
      <c r="I173" t="inlineStr">
        <is>
          <t>No</t>
        </is>
      </c>
      <c r="J173" t="inlineStr">
        <is>
          <t>No</t>
        </is>
      </c>
      <c r="K173">
        <f>IFERROR(VLOOKUP(UPPER(C173),Suburb_LGA_Map!$A:$B,2,FALSE),"")</f>
        <v/>
      </c>
    </row>
    <row r="174">
      <c r="A174" t="inlineStr">
        <is>
          <t>SE-00006785</t>
        </is>
      </c>
      <c r="B174" t="inlineStr">
        <is>
          <t>Bunny Cottage Early Learning Centre</t>
        </is>
      </c>
      <c r="C174" t="inlineStr">
        <is>
          <t>BEXLEY</t>
        </is>
      </c>
      <c r="D174" t="inlineStr">
        <is>
          <t>2207</t>
        </is>
      </c>
      <c r="E174" t="n">
        <v>29</v>
      </c>
      <c r="F174" t="inlineStr">
        <is>
          <t>Meeting NQS</t>
        </is>
      </c>
      <c r="G174" t="inlineStr">
        <is>
          <t>Yes</t>
        </is>
      </c>
      <c r="H174" t="inlineStr">
        <is>
          <t>No</t>
        </is>
      </c>
      <c r="I174" t="inlineStr">
        <is>
          <t>No</t>
        </is>
      </c>
      <c r="J174" t="inlineStr">
        <is>
          <t>No</t>
        </is>
      </c>
      <c r="K174">
        <f>IFERROR(VLOOKUP(UPPER(C174),Suburb_LGA_Map!$A:$B,2,FALSE),"")</f>
        <v/>
      </c>
    </row>
    <row r="175">
      <c r="A175" t="inlineStr">
        <is>
          <t>SE-00006796</t>
        </is>
      </c>
      <c r="B175" t="inlineStr">
        <is>
          <t>Busy Bee Long Day Childcare Centre</t>
        </is>
      </c>
      <c r="C175" t="inlineStr">
        <is>
          <t>ARNCLIFFE</t>
        </is>
      </c>
      <c r="D175" t="inlineStr">
        <is>
          <t>2205</t>
        </is>
      </c>
      <c r="E175" t="n">
        <v>31</v>
      </c>
      <c r="F175" t="inlineStr">
        <is>
          <t>Meeting NQS</t>
        </is>
      </c>
      <c r="G175" t="inlineStr">
        <is>
          <t>Yes</t>
        </is>
      </c>
      <c r="H175" t="inlineStr">
        <is>
          <t>No</t>
        </is>
      </c>
      <c r="I175" t="inlineStr">
        <is>
          <t>No</t>
        </is>
      </c>
      <c r="J175" t="inlineStr">
        <is>
          <t>No</t>
        </is>
      </c>
      <c r="K175">
        <f>IFERROR(VLOOKUP(UPPER(C175),Suburb_LGA_Map!$A:$B,2,FALSE),"")</f>
        <v/>
      </c>
    </row>
    <row r="176">
      <c r="A176" t="inlineStr">
        <is>
          <t>SE-00006827</t>
        </is>
      </c>
      <c r="B176" t="inlineStr">
        <is>
          <t>Cameragal Montessori School (Neutral Bay)</t>
        </is>
      </c>
      <c r="C176" t="inlineStr">
        <is>
          <t>NEUTRAL BAY</t>
        </is>
      </c>
      <c r="D176" t="inlineStr">
        <is>
          <t>2089</t>
        </is>
      </c>
      <c r="E176" t="n">
        <v>59</v>
      </c>
      <c r="F176" t="inlineStr">
        <is>
          <t>Meeting NQS</t>
        </is>
      </c>
      <c r="G176" t="inlineStr">
        <is>
          <t>No</t>
        </is>
      </c>
      <c r="H176" t="inlineStr">
        <is>
          <t>Yes</t>
        </is>
      </c>
      <c r="I176" t="inlineStr">
        <is>
          <t>No</t>
        </is>
      </c>
      <c r="J176" t="inlineStr">
        <is>
          <t>Yes</t>
        </is>
      </c>
      <c r="K176">
        <f>IFERROR(VLOOKUP(UPPER(C176),Suburb_LGA_Map!$A:$B,2,FALSE),"")</f>
        <v/>
      </c>
    </row>
    <row r="177">
      <c r="A177" t="inlineStr">
        <is>
          <t>SE-40005109</t>
        </is>
      </c>
      <c r="B177" t="inlineStr">
        <is>
          <t>Little Leo's Early Education Killara</t>
        </is>
      </c>
      <c r="C177" t="inlineStr">
        <is>
          <t>KILLARA</t>
        </is>
      </c>
      <c r="D177" t="inlineStr">
        <is>
          <t>2071</t>
        </is>
      </c>
      <c r="E177" t="n">
        <v>96</v>
      </c>
      <c r="F177" t="inlineStr">
        <is>
          <t>Meeting NQS</t>
        </is>
      </c>
      <c r="G177" t="inlineStr">
        <is>
          <t>Yes</t>
        </is>
      </c>
      <c r="H177" t="inlineStr">
        <is>
          <t>No</t>
        </is>
      </c>
      <c r="I177" t="inlineStr">
        <is>
          <t>No</t>
        </is>
      </c>
      <c r="J177" t="inlineStr">
        <is>
          <t>No</t>
        </is>
      </c>
      <c r="K177">
        <f>IFERROR(VLOOKUP(UPPER(C177),Suburb_LGA_Map!$A:$B,2,FALSE),"")</f>
        <v/>
      </c>
    </row>
    <row r="178">
      <c r="A178" t="inlineStr">
        <is>
          <t>SE-40005228</t>
        </is>
      </c>
      <c r="B178" t="inlineStr">
        <is>
          <t>Only About Children St Leonards</t>
        </is>
      </c>
      <c r="C178" t="inlineStr">
        <is>
          <t>ST LEONARDS</t>
        </is>
      </c>
      <c r="D178" t="inlineStr">
        <is>
          <t>2065</t>
        </is>
      </c>
      <c r="E178" t="n">
        <v>92</v>
      </c>
      <c r="F178" t="inlineStr">
        <is>
          <t>Meeting NQS</t>
        </is>
      </c>
      <c r="G178" t="inlineStr">
        <is>
          <t>Yes</t>
        </is>
      </c>
      <c r="H178" t="inlineStr">
        <is>
          <t>No</t>
        </is>
      </c>
      <c r="I178" t="inlineStr">
        <is>
          <t>No</t>
        </is>
      </c>
      <c r="J178" t="inlineStr">
        <is>
          <t>No</t>
        </is>
      </c>
      <c r="K178">
        <f>IFERROR(VLOOKUP(UPPER(C178),Suburb_LGA_Map!$A:$B,2,FALSE),"")</f>
        <v/>
      </c>
    </row>
    <row r="179">
      <c r="A179" t="inlineStr">
        <is>
          <t>SE-40005257</t>
        </is>
      </c>
      <c r="B179" t="inlineStr">
        <is>
          <t>Artarmon Family Day Care</t>
        </is>
      </c>
      <c r="C179" t="inlineStr">
        <is>
          <t>CROWS NEST</t>
        </is>
      </c>
      <c r="D179" t="inlineStr">
        <is>
          <t>2065</t>
        </is>
      </c>
      <c r="E179" t="inlineStr"/>
      <c r="F179" t="inlineStr">
        <is>
          <t>Meeting NQS</t>
        </is>
      </c>
      <c r="G179" t="inlineStr">
        <is>
          <t>No</t>
        </is>
      </c>
      <c r="H179" t="inlineStr">
        <is>
          <t>No</t>
        </is>
      </c>
      <c r="I179" t="inlineStr">
        <is>
          <t>No</t>
        </is>
      </c>
      <c r="J179" t="inlineStr">
        <is>
          <t>No</t>
        </is>
      </c>
      <c r="K179">
        <f>IFERROR(VLOOKUP(UPPER(C179),Suburb_LGA_Map!$A:$B,2,FALSE),"")</f>
        <v/>
      </c>
    </row>
    <row r="180">
      <c r="A180" t="inlineStr">
        <is>
          <t>SE-40001252</t>
        </is>
      </c>
      <c r="B180" t="inlineStr">
        <is>
          <t>Only About Children Cremorne</t>
        </is>
      </c>
      <c r="C180" t="inlineStr">
        <is>
          <t>CREMORNE</t>
        </is>
      </c>
      <c r="D180" t="inlineStr">
        <is>
          <t>2090</t>
        </is>
      </c>
      <c r="E180" t="n">
        <v>129</v>
      </c>
      <c r="F180" t="inlineStr">
        <is>
          <t>Meeting NQS</t>
        </is>
      </c>
      <c r="G180" t="inlineStr">
        <is>
          <t>Yes</t>
        </is>
      </c>
      <c r="H180" t="inlineStr">
        <is>
          <t>No</t>
        </is>
      </c>
      <c r="I180" t="inlineStr">
        <is>
          <t>No</t>
        </is>
      </c>
      <c r="J180" t="inlineStr">
        <is>
          <t>No</t>
        </is>
      </c>
      <c r="K180">
        <f>IFERROR(VLOOKUP(UPPER(C180),Suburb_LGA_Map!$A:$B,2,FALSE),"")</f>
        <v/>
      </c>
    </row>
    <row r="181">
      <c r="A181" t="inlineStr">
        <is>
          <t>SE-00007828</t>
        </is>
      </c>
      <c r="B181" t="inlineStr">
        <is>
          <t>Kingsgrove World of Learning</t>
        </is>
      </c>
      <c r="C181" t="inlineStr">
        <is>
          <t>KINGSGROVE</t>
        </is>
      </c>
      <c r="D181" t="inlineStr">
        <is>
          <t>2208</t>
        </is>
      </c>
      <c r="E181" t="n">
        <v>35</v>
      </c>
      <c r="F181" t="inlineStr">
        <is>
          <t>Meeting NQS</t>
        </is>
      </c>
      <c r="G181" t="inlineStr">
        <is>
          <t>Yes</t>
        </is>
      </c>
      <c r="H181" t="inlineStr">
        <is>
          <t>No</t>
        </is>
      </c>
      <c r="I181" t="inlineStr">
        <is>
          <t>No</t>
        </is>
      </c>
      <c r="J181" t="inlineStr">
        <is>
          <t>No</t>
        </is>
      </c>
      <c r="K181">
        <f>IFERROR(VLOOKUP(UPPER(C181),Suburb_LGA_Map!$A:$B,2,FALSE),"")</f>
        <v/>
      </c>
    </row>
    <row r="182">
      <c r="A182" t="inlineStr">
        <is>
          <t>SE-00007841</t>
        </is>
      </c>
      <c r="B182" t="inlineStr">
        <is>
          <t>Handprints Killara</t>
        </is>
      </c>
      <c r="C182" t="inlineStr">
        <is>
          <t>KILLARA</t>
        </is>
      </c>
      <c r="D182" t="inlineStr">
        <is>
          <t>2071</t>
        </is>
      </c>
      <c r="E182" t="n">
        <v>58</v>
      </c>
      <c r="F182" t="inlineStr">
        <is>
          <t>Meeting NQS</t>
        </is>
      </c>
      <c r="G182" t="inlineStr">
        <is>
          <t>Yes</t>
        </is>
      </c>
      <c r="H182" t="inlineStr">
        <is>
          <t>No</t>
        </is>
      </c>
      <c r="I182" t="inlineStr">
        <is>
          <t>No</t>
        </is>
      </c>
      <c r="J182" t="inlineStr">
        <is>
          <t>No</t>
        </is>
      </c>
      <c r="K182">
        <f>IFERROR(VLOOKUP(UPPER(C182),Suburb_LGA_Map!$A:$B,2,FALSE),"")</f>
        <v/>
      </c>
    </row>
    <row r="183">
      <c r="A183" t="inlineStr">
        <is>
          <t>SE-00007842</t>
        </is>
      </c>
      <c r="B183" t="inlineStr">
        <is>
          <t>Daystars Killara</t>
        </is>
      </c>
      <c r="C183" t="inlineStr">
        <is>
          <t>KILLARA</t>
        </is>
      </c>
      <c r="D183" t="inlineStr">
        <is>
          <t>2071</t>
        </is>
      </c>
      <c r="E183" t="n">
        <v>43</v>
      </c>
      <c r="F183" t="inlineStr">
        <is>
          <t>Meeting NQS</t>
        </is>
      </c>
      <c r="G183" t="inlineStr">
        <is>
          <t>Yes</t>
        </is>
      </c>
      <c r="H183" t="inlineStr">
        <is>
          <t>No</t>
        </is>
      </c>
      <c r="I183" t="inlineStr">
        <is>
          <t>No</t>
        </is>
      </c>
      <c r="J183" t="inlineStr">
        <is>
          <t>No</t>
        </is>
      </c>
      <c r="K183">
        <f>IFERROR(VLOOKUP(UPPER(C183),Suburb_LGA_Map!$A:$B,2,FALSE),"")</f>
        <v/>
      </c>
    </row>
    <row r="184">
      <c r="A184" t="inlineStr">
        <is>
          <t>SE-00007844</t>
        </is>
      </c>
      <c r="B184" t="inlineStr">
        <is>
          <t>Playbright Rosebery</t>
        </is>
      </c>
      <c r="C184" t="inlineStr">
        <is>
          <t>ROSEBERY</t>
        </is>
      </c>
      <c r="D184" t="inlineStr">
        <is>
          <t>2018</t>
        </is>
      </c>
      <c r="E184" t="n">
        <v>41</v>
      </c>
      <c r="F184" t="inlineStr">
        <is>
          <t>Meeting NQS</t>
        </is>
      </c>
      <c r="G184" t="inlineStr">
        <is>
          <t>Yes</t>
        </is>
      </c>
      <c r="H184" t="inlineStr">
        <is>
          <t>No</t>
        </is>
      </c>
      <c r="I184" t="inlineStr">
        <is>
          <t>No</t>
        </is>
      </c>
      <c r="J184" t="inlineStr">
        <is>
          <t>No</t>
        </is>
      </c>
      <c r="K184">
        <f>IFERROR(VLOOKUP(UPPER(C184),Suburb_LGA_Map!$A:$B,2,FALSE),"")</f>
        <v/>
      </c>
    </row>
    <row r="185">
      <c r="A185" t="inlineStr">
        <is>
          <t>SE-00007866</t>
        </is>
      </c>
      <c r="B185" t="inlineStr">
        <is>
          <t>Bright Beginnings Learning Centre Bexley</t>
        </is>
      </c>
      <c r="C185" t="inlineStr">
        <is>
          <t>BEXLEY</t>
        </is>
      </c>
      <c r="D185" t="inlineStr">
        <is>
          <t>2207</t>
        </is>
      </c>
      <c r="E185" t="n">
        <v>57</v>
      </c>
      <c r="F185" t="inlineStr">
        <is>
          <t>Meeting NQS</t>
        </is>
      </c>
      <c r="G185" t="inlineStr">
        <is>
          <t>Yes</t>
        </is>
      </c>
      <c r="H185" t="inlineStr">
        <is>
          <t>No</t>
        </is>
      </c>
      <c r="I185" t="inlineStr">
        <is>
          <t>No</t>
        </is>
      </c>
      <c r="J185" t="inlineStr">
        <is>
          <t>No</t>
        </is>
      </c>
      <c r="K185">
        <f>IFERROR(VLOOKUP(UPPER(C185),Suburb_LGA_Map!$A:$B,2,FALSE),"")</f>
        <v/>
      </c>
    </row>
    <row r="186">
      <c r="A186" t="inlineStr">
        <is>
          <t>SE-00007869</t>
        </is>
      </c>
      <c r="B186" t="inlineStr">
        <is>
          <t>Kinderoos</t>
        </is>
      </c>
      <c r="C186" t="inlineStr">
        <is>
          <t>BEXLEY NORTH</t>
        </is>
      </c>
      <c r="D186" t="inlineStr">
        <is>
          <t>2207</t>
        </is>
      </c>
      <c r="E186" t="n">
        <v>89</v>
      </c>
      <c r="F186" t="inlineStr">
        <is>
          <t>Meeting NQS</t>
        </is>
      </c>
      <c r="G186" t="inlineStr">
        <is>
          <t>Yes</t>
        </is>
      </c>
      <c r="H186" t="inlineStr">
        <is>
          <t>No</t>
        </is>
      </c>
      <c r="I186" t="inlineStr">
        <is>
          <t>No</t>
        </is>
      </c>
      <c r="J186" t="inlineStr">
        <is>
          <t>No</t>
        </is>
      </c>
      <c r="K186">
        <f>IFERROR(VLOOKUP(UPPER(C186),Suburb_LGA_Map!$A:$B,2,FALSE),"")</f>
        <v/>
      </c>
    </row>
    <row r="187">
      <c r="A187" t="inlineStr">
        <is>
          <t>SE-00007870</t>
        </is>
      </c>
      <c r="B187" t="inlineStr">
        <is>
          <t>Kinderoos (Arncliffe)</t>
        </is>
      </c>
      <c r="C187" t="inlineStr">
        <is>
          <t>ARNCLIFFE</t>
        </is>
      </c>
      <c r="D187" t="inlineStr">
        <is>
          <t>2205</t>
        </is>
      </c>
      <c r="E187" t="n">
        <v>45</v>
      </c>
      <c r="F187" t="inlineStr">
        <is>
          <t>Meeting NQS</t>
        </is>
      </c>
      <c r="G187" t="inlineStr">
        <is>
          <t>Yes</t>
        </is>
      </c>
      <c r="H187" t="inlineStr">
        <is>
          <t>No</t>
        </is>
      </c>
      <c r="I187" t="inlineStr">
        <is>
          <t>No</t>
        </is>
      </c>
      <c r="J187" t="inlineStr">
        <is>
          <t>No</t>
        </is>
      </c>
      <c r="K187">
        <f>IFERROR(VLOOKUP(UPPER(C187),Suburb_LGA_Map!$A:$B,2,FALSE),"")</f>
        <v/>
      </c>
    </row>
    <row r="188">
      <c r="A188" t="inlineStr">
        <is>
          <t>SE-00007878</t>
        </is>
      </c>
      <c r="B188" t="inlineStr">
        <is>
          <t>Kindisaurus CCC</t>
        </is>
      </c>
      <c r="C188" t="inlineStr">
        <is>
          <t>MASCOT</t>
        </is>
      </c>
      <c r="D188" t="inlineStr">
        <is>
          <t>2020</t>
        </is>
      </c>
      <c r="E188" t="n">
        <v>26</v>
      </c>
      <c r="F188" t="inlineStr">
        <is>
          <t>Meeting NQS</t>
        </is>
      </c>
      <c r="G188" t="inlineStr">
        <is>
          <t>Yes</t>
        </is>
      </c>
      <c r="H188" t="inlineStr">
        <is>
          <t>No</t>
        </is>
      </c>
      <c r="I188" t="inlineStr">
        <is>
          <t>No</t>
        </is>
      </c>
      <c r="J188" t="inlineStr">
        <is>
          <t>No</t>
        </is>
      </c>
      <c r="K188">
        <f>IFERROR(VLOOKUP(UPPER(C188),Suburb_LGA_Map!$A:$B,2,FALSE),"")</f>
        <v/>
      </c>
    </row>
    <row r="189">
      <c r="A189" t="inlineStr">
        <is>
          <t>SE-40009539</t>
        </is>
      </c>
      <c r="B189" t="inlineStr">
        <is>
          <t>Giggles and Growth</t>
        </is>
      </c>
      <c r="C189" t="inlineStr">
        <is>
          <t>ARNCLIFFE</t>
        </is>
      </c>
      <c r="D189" t="inlineStr">
        <is>
          <t>2205</t>
        </is>
      </c>
      <c r="E189" t="n">
        <v>24</v>
      </c>
      <c r="F189" t="inlineStr">
        <is>
          <t>Meeting NQS</t>
        </is>
      </c>
      <c r="G189" t="inlineStr">
        <is>
          <t>No</t>
        </is>
      </c>
      <c r="H189" t="inlineStr">
        <is>
          <t>No</t>
        </is>
      </c>
      <c r="I189" t="inlineStr">
        <is>
          <t>No</t>
        </is>
      </c>
      <c r="J189" t="inlineStr">
        <is>
          <t>Yes</t>
        </is>
      </c>
      <c r="K189">
        <f>IFERROR(VLOOKUP(UPPER(C189),Suburb_LGA_Map!$A:$B,2,FALSE),"")</f>
        <v/>
      </c>
    </row>
    <row r="190">
      <c r="A190" t="inlineStr">
        <is>
          <t>SE-40003068</t>
        </is>
      </c>
      <c r="B190" t="inlineStr">
        <is>
          <t>Oak Tree Early Learning Centres - West Pymble</t>
        </is>
      </c>
      <c r="C190" t="inlineStr">
        <is>
          <t>WEST PYMBLE</t>
        </is>
      </c>
      <c r="D190" t="inlineStr">
        <is>
          <t>2073</t>
        </is>
      </c>
      <c r="E190" t="n">
        <v>60</v>
      </c>
      <c r="F190" t="inlineStr">
        <is>
          <t>Meeting NQS</t>
        </is>
      </c>
      <c r="G190" t="inlineStr">
        <is>
          <t>Yes</t>
        </is>
      </c>
      <c r="H190" t="inlineStr">
        <is>
          <t>No</t>
        </is>
      </c>
      <c r="I190" t="inlineStr">
        <is>
          <t>No</t>
        </is>
      </c>
      <c r="J190" t="inlineStr">
        <is>
          <t>No</t>
        </is>
      </c>
      <c r="K190">
        <f>IFERROR(VLOOKUP(UPPER(C190),Suburb_LGA_Map!$A:$B,2,FALSE),"")</f>
        <v/>
      </c>
    </row>
    <row r="191">
      <c r="A191" t="inlineStr">
        <is>
          <t>SE-00018933</t>
        </is>
      </c>
      <c r="B191" t="inlineStr">
        <is>
          <t>SCECS OSHC St Gabriel's Bexley</t>
        </is>
      </c>
      <c r="C191" t="inlineStr">
        <is>
          <t>BEXLEY</t>
        </is>
      </c>
      <c r="D191" t="inlineStr">
        <is>
          <t>2207</t>
        </is>
      </c>
      <c r="E191" t="n">
        <v>60</v>
      </c>
      <c r="F191" t="inlineStr"/>
      <c r="G191" t="inlineStr">
        <is>
          <t>No</t>
        </is>
      </c>
      <c r="H191" t="inlineStr">
        <is>
          <t>No</t>
        </is>
      </c>
      <c r="I191" t="inlineStr">
        <is>
          <t>No</t>
        </is>
      </c>
      <c r="J191" t="inlineStr">
        <is>
          <t>Yes</t>
        </is>
      </c>
      <c r="K191">
        <f>IFERROR(VLOOKUP(UPPER(C191),Suburb_LGA_Map!$A:$B,2,FALSE),"")</f>
        <v/>
      </c>
    </row>
    <row r="192">
      <c r="A192" t="inlineStr">
        <is>
          <t>SE-00018946</t>
        </is>
      </c>
      <c r="B192" t="inlineStr">
        <is>
          <t>Gowrie NSW Audrey St Leonards Early Education Centre</t>
        </is>
      </c>
      <c r="C192" t="inlineStr">
        <is>
          <t>ST LEONARDS</t>
        </is>
      </c>
      <c r="D192" t="inlineStr">
        <is>
          <t>2065</t>
        </is>
      </c>
      <c r="E192" t="n">
        <v>60</v>
      </c>
      <c r="F192" t="inlineStr"/>
      <c r="G192" t="inlineStr">
        <is>
          <t>Yes</t>
        </is>
      </c>
      <c r="H192" t="inlineStr">
        <is>
          <t>No</t>
        </is>
      </c>
      <c r="I192" t="inlineStr">
        <is>
          <t>No</t>
        </is>
      </c>
      <c r="J192" t="inlineStr">
        <is>
          <t>No</t>
        </is>
      </c>
      <c r="K192">
        <f>IFERROR(VLOOKUP(UPPER(C192),Suburb_LGA_Map!$A:$B,2,FALSE),"")</f>
        <v/>
      </c>
    </row>
    <row r="193">
      <c r="A193" t="inlineStr">
        <is>
          <t>SE-40000013</t>
        </is>
      </c>
      <c r="B193" t="inlineStr">
        <is>
          <t>Mungarra Kindergarten</t>
        </is>
      </c>
      <c r="C193" t="inlineStr">
        <is>
          <t>ST IVES</t>
        </is>
      </c>
      <c r="D193" t="inlineStr">
        <is>
          <t>2075</t>
        </is>
      </c>
      <c r="E193" t="n">
        <v>25</v>
      </c>
      <c r="F193" t="inlineStr">
        <is>
          <t>Meeting NQS</t>
        </is>
      </c>
      <c r="G193" t="inlineStr">
        <is>
          <t>Yes</t>
        </is>
      </c>
      <c r="H193" t="inlineStr">
        <is>
          <t>No</t>
        </is>
      </c>
      <c r="I193" t="inlineStr">
        <is>
          <t>No</t>
        </is>
      </c>
      <c r="J193" t="inlineStr">
        <is>
          <t>No</t>
        </is>
      </c>
      <c r="K193">
        <f>IFERROR(VLOOKUP(UPPER(C193),Suburb_LGA_Map!$A:$B,2,FALSE),"")</f>
        <v/>
      </c>
    </row>
    <row r="194">
      <c r="A194" t="inlineStr">
        <is>
          <t>SE-00013746</t>
        </is>
      </c>
      <c r="B194" t="inlineStr">
        <is>
          <t>Camp Australia - Loreto Kirribilli OSHC</t>
        </is>
      </c>
      <c r="C194" t="inlineStr">
        <is>
          <t>KIRRIBILLI</t>
        </is>
      </c>
      <c r="D194" t="inlineStr">
        <is>
          <t>2061</t>
        </is>
      </c>
      <c r="E194" t="n">
        <v>23</v>
      </c>
      <c r="F194" t="inlineStr">
        <is>
          <t>Meeting NQS</t>
        </is>
      </c>
      <c r="G194" t="inlineStr">
        <is>
          <t>No</t>
        </is>
      </c>
      <c r="H194" t="inlineStr">
        <is>
          <t>No</t>
        </is>
      </c>
      <c r="I194" t="inlineStr">
        <is>
          <t>No</t>
        </is>
      </c>
      <c r="J194" t="inlineStr">
        <is>
          <t>Yes</t>
        </is>
      </c>
      <c r="K194">
        <f>IFERROR(VLOOKUP(UPPER(C194),Suburb_LGA_Map!$A:$B,2,FALSE),"")</f>
        <v/>
      </c>
    </row>
    <row r="195">
      <c r="A195" t="inlineStr">
        <is>
          <t>SE-00013767</t>
        </is>
      </c>
      <c r="B195" t="inlineStr">
        <is>
          <t>South Turramurra OOSH</t>
        </is>
      </c>
      <c r="C195" t="inlineStr">
        <is>
          <t>TURRAMURRA</t>
        </is>
      </c>
      <c r="D195" t="inlineStr">
        <is>
          <t>2074</t>
        </is>
      </c>
      <c r="E195" t="n">
        <v>300</v>
      </c>
      <c r="F195" t="inlineStr">
        <is>
          <t>Exceeding NQS</t>
        </is>
      </c>
      <c r="G195" t="inlineStr">
        <is>
          <t>No</t>
        </is>
      </c>
      <c r="H195" t="inlineStr">
        <is>
          <t>No</t>
        </is>
      </c>
      <c r="I195" t="inlineStr">
        <is>
          <t>No</t>
        </is>
      </c>
      <c r="J195" t="inlineStr">
        <is>
          <t>Yes</t>
        </is>
      </c>
      <c r="K195">
        <f>IFERROR(VLOOKUP(UPPER(C195),Suburb_LGA_Map!$A:$B,2,FALSE),"")</f>
        <v/>
      </c>
    </row>
    <row r="196">
      <c r="A196" t="inlineStr">
        <is>
          <t>SE-00013796</t>
        </is>
      </c>
      <c r="B196" t="inlineStr">
        <is>
          <t>POOSH Care Inc</t>
        </is>
      </c>
      <c r="C196" t="inlineStr">
        <is>
          <t>PYMBLE</t>
        </is>
      </c>
      <c r="D196" t="inlineStr">
        <is>
          <t>2073</t>
        </is>
      </c>
      <c r="E196" t="n">
        <v>210</v>
      </c>
      <c r="F196" t="inlineStr">
        <is>
          <t>Exceeding NQS</t>
        </is>
      </c>
      <c r="G196" t="inlineStr">
        <is>
          <t>No</t>
        </is>
      </c>
      <c r="H196" t="inlineStr">
        <is>
          <t>No</t>
        </is>
      </c>
      <c r="I196" t="inlineStr">
        <is>
          <t>No</t>
        </is>
      </c>
      <c r="J196" t="inlineStr">
        <is>
          <t>Yes</t>
        </is>
      </c>
      <c r="K196">
        <f>IFERROR(VLOOKUP(UPPER(C196),Suburb_LGA_Map!$A:$B,2,FALSE),"")</f>
        <v/>
      </c>
    </row>
    <row r="197">
      <c r="A197" t="inlineStr">
        <is>
          <t>SE-00013800</t>
        </is>
      </c>
      <c r="B197" t="inlineStr">
        <is>
          <t>Roseville College CommunityOSH</t>
        </is>
      </c>
      <c r="C197" t="inlineStr">
        <is>
          <t>ROSEVILLE</t>
        </is>
      </c>
      <c r="D197" t="inlineStr">
        <is>
          <t>2069</t>
        </is>
      </c>
      <c r="E197" t="n">
        <v>34</v>
      </c>
      <c r="F197" t="inlineStr">
        <is>
          <t>Meeting NQS</t>
        </is>
      </c>
      <c r="G197" t="inlineStr">
        <is>
          <t>No</t>
        </is>
      </c>
      <c r="H197" t="inlineStr">
        <is>
          <t>No</t>
        </is>
      </c>
      <c r="I197" t="inlineStr">
        <is>
          <t>No</t>
        </is>
      </c>
      <c r="J197" t="inlineStr">
        <is>
          <t>Yes</t>
        </is>
      </c>
      <c r="K197">
        <f>IFERROR(VLOOKUP(UPPER(C197),Suburb_LGA_Map!$A:$B,2,FALSE),"")</f>
        <v/>
      </c>
    </row>
    <row r="198">
      <c r="A198" t="inlineStr">
        <is>
          <t>SE-00013812</t>
        </is>
      </c>
      <c r="B198" t="inlineStr">
        <is>
          <t>Gowrie NSW Killara Outside School hours Care</t>
        </is>
      </c>
      <c r="C198" t="inlineStr">
        <is>
          <t>KILLARA</t>
        </is>
      </c>
      <c r="D198" t="inlineStr">
        <is>
          <t>2071</t>
        </is>
      </c>
      <c r="E198" t="n">
        <v>110</v>
      </c>
      <c r="F198" t="inlineStr">
        <is>
          <t>Exceeding NQS</t>
        </is>
      </c>
      <c r="G198" t="inlineStr">
        <is>
          <t>No</t>
        </is>
      </c>
      <c r="H198" t="inlineStr">
        <is>
          <t>No</t>
        </is>
      </c>
      <c r="I198" t="inlineStr">
        <is>
          <t>No</t>
        </is>
      </c>
      <c r="J198" t="inlineStr">
        <is>
          <t>Yes</t>
        </is>
      </c>
      <c r="K198">
        <f>IFERROR(VLOOKUP(UPPER(C198),Suburb_LGA_Map!$A:$B,2,FALSE),"")</f>
        <v/>
      </c>
    </row>
    <row r="199">
      <c r="A199" t="inlineStr">
        <is>
          <t>SE-00013816</t>
        </is>
      </c>
      <c r="B199" t="inlineStr">
        <is>
          <t>Daceyville Kids Out of School Hours Care</t>
        </is>
      </c>
      <c r="C199" t="inlineStr">
        <is>
          <t>DACEYVILLE</t>
        </is>
      </c>
      <c r="D199" t="inlineStr">
        <is>
          <t>2032</t>
        </is>
      </c>
      <c r="E199" t="n">
        <v>120</v>
      </c>
      <c r="F199" t="inlineStr">
        <is>
          <t>Meeting NQS</t>
        </is>
      </c>
      <c r="G199" t="inlineStr">
        <is>
          <t>No</t>
        </is>
      </c>
      <c r="H199" t="inlineStr">
        <is>
          <t>No</t>
        </is>
      </c>
      <c r="I199" t="inlineStr">
        <is>
          <t>No</t>
        </is>
      </c>
      <c r="J199" t="inlineStr">
        <is>
          <t>Yes</t>
        </is>
      </c>
      <c r="K199">
        <f>IFERROR(VLOOKUP(UPPER(C199),Suburb_LGA_Map!$A:$B,2,FALSE),"")</f>
        <v/>
      </c>
    </row>
    <row r="200">
      <c r="A200" t="inlineStr">
        <is>
          <t>SE-00013817</t>
        </is>
      </c>
      <c r="B200" t="inlineStr">
        <is>
          <t>Star Club</t>
        </is>
      </c>
      <c r="C200" t="inlineStr">
        <is>
          <t>BOTANY</t>
        </is>
      </c>
      <c r="D200" t="inlineStr">
        <is>
          <t>2019</t>
        </is>
      </c>
      <c r="E200" t="n">
        <v>139</v>
      </c>
      <c r="F200" t="inlineStr">
        <is>
          <t>Meeting NQS</t>
        </is>
      </c>
      <c r="G200" t="inlineStr">
        <is>
          <t>No</t>
        </is>
      </c>
      <c r="H200" t="inlineStr">
        <is>
          <t>No</t>
        </is>
      </c>
      <c r="I200" t="inlineStr">
        <is>
          <t>No</t>
        </is>
      </c>
      <c r="J200" t="inlineStr">
        <is>
          <t>Yes</t>
        </is>
      </c>
      <c r="K200">
        <f>IFERROR(VLOOKUP(UPPER(C200),Suburb_LGA_Map!$A:$B,2,FALSE),"")</f>
        <v/>
      </c>
    </row>
    <row r="201">
      <c r="A201" t="inlineStr">
        <is>
          <t>SE-00009436</t>
        </is>
      </c>
      <c r="B201" t="inlineStr">
        <is>
          <t>Uniting West Bexley Preschool</t>
        </is>
      </c>
      <c r="C201" t="inlineStr">
        <is>
          <t>BEXLEY</t>
        </is>
      </c>
      <c r="D201" t="inlineStr">
        <is>
          <t>2207</t>
        </is>
      </c>
      <c r="E201" t="n">
        <v>50</v>
      </c>
      <c r="F201" t="inlineStr">
        <is>
          <t>Meeting NQS</t>
        </is>
      </c>
      <c r="G201" t="inlineStr">
        <is>
          <t>No</t>
        </is>
      </c>
      <c r="H201" t="inlineStr">
        <is>
          <t>Yes</t>
        </is>
      </c>
      <c r="I201" t="inlineStr">
        <is>
          <t>No</t>
        </is>
      </c>
      <c r="J201" t="inlineStr">
        <is>
          <t>No</t>
        </is>
      </c>
      <c r="K201">
        <f>IFERROR(VLOOKUP(UPPER(C201),Suburb_LGA_Map!$A:$B,2,FALSE),"")</f>
        <v/>
      </c>
    </row>
    <row r="202">
      <c r="A202" t="inlineStr">
        <is>
          <t>SE-00009460</t>
        </is>
      </c>
      <c r="B202" t="inlineStr">
        <is>
          <t>Only About Children Wahroonga Eastern Road</t>
        </is>
      </c>
      <c r="C202" t="inlineStr">
        <is>
          <t>WAHROONGA</t>
        </is>
      </c>
      <c r="D202" t="inlineStr">
        <is>
          <t>2076</t>
        </is>
      </c>
      <c r="E202" t="n">
        <v>56</v>
      </c>
      <c r="F202" t="inlineStr">
        <is>
          <t>Exceeding NQS</t>
        </is>
      </c>
      <c r="G202" t="inlineStr">
        <is>
          <t>Yes</t>
        </is>
      </c>
      <c r="H202" t="inlineStr">
        <is>
          <t>No</t>
        </is>
      </c>
      <c r="I202" t="inlineStr">
        <is>
          <t>No</t>
        </is>
      </c>
      <c r="J202" t="inlineStr">
        <is>
          <t>No</t>
        </is>
      </c>
      <c r="K202">
        <f>IFERROR(VLOOKUP(UPPER(C202),Suburb_LGA_Map!$A:$B,2,FALSE),"")</f>
        <v/>
      </c>
    </row>
    <row r="203">
      <c r="A203" t="inlineStr">
        <is>
          <t>SE-00009462</t>
        </is>
      </c>
      <c r="B203" t="inlineStr">
        <is>
          <t>Wahroonga Long Day Care Centre</t>
        </is>
      </c>
      <c r="C203" t="inlineStr">
        <is>
          <t>WAHROONGA</t>
        </is>
      </c>
      <c r="D203" t="inlineStr">
        <is>
          <t>2076</t>
        </is>
      </c>
      <c r="E203" t="n">
        <v>27</v>
      </c>
      <c r="F203" t="inlineStr">
        <is>
          <t>Meeting NQS</t>
        </is>
      </c>
      <c r="G203" t="inlineStr">
        <is>
          <t>Yes</t>
        </is>
      </c>
      <c r="H203" t="inlineStr">
        <is>
          <t>No</t>
        </is>
      </c>
      <c r="I203" t="inlineStr">
        <is>
          <t>No</t>
        </is>
      </c>
      <c r="J203" t="inlineStr">
        <is>
          <t>No</t>
        </is>
      </c>
      <c r="K203">
        <f>IFERROR(VLOOKUP(UPPER(C203),Suburb_LGA_Map!$A:$B,2,FALSE),"")</f>
        <v/>
      </c>
    </row>
    <row r="204">
      <c r="A204" t="inlineStr">
        <is>
          <t>SE-40017402</t>
        </is>
      </c>
      <c r="B204" t="inlineStr">
        <is>
          <t>Nest and Nurture Early Learning - Lindfield</t>
        </is>
      </c>
      <c r="C204" t="inlineStr">
        <is>
          <t>LINDFIELD</t>
        </is>
      </c>
      <c r="D204" t="inlineStr">
        <is>
          <t>2070</t>
        </is>
      </c>
      <c r="E204" t="n">
        <v>80</v>
      </c>
      <c r="F204" t="inlineStr">
        <is>
          <t>Meeting NQS</t>
        </is>
      </c>
      <c r="G204" t="inlineStr">
        <is>
          <t>Yes</t>
        </is>
      </c>
      <c r="H204" t="inlineStr">
        <is>
          <t>No</t>
        </is>
      </c>
      <c r="I204" t="inlineStr">
        <is>
          <t>No</t>
        </is>
      </c>
      <c r="J204" t="inlineStr">
        <is>
          <t>No</t>
        </is>
      </c>
      <c r="K204">
        <f>IFERROR(VLOOKUP(UPPER(C204),Suburb_LGA_Map!$A:$B,2,FALSE),"")</f>
        <v/>
      </c>
    </row>
    <row r="205">
      <c r="A205" t="inlineStr">
        <is>
          <t>SE-00011994</t>
        </is>
      </c>
      <c r="B205" t="inlineStr">
        <is>
          <t>Abbotsleigh Junior School TheirCare</t>
        </is>
      </c>
      <c r="C205" t="inlineStr">
        <is>
          <t>WAHROONGA</t>
        </is>
      </c>
      <c r="D205" t="inlineStr">
        <is>
          <t>2076</t>
        </is>
      </c>
      <c r="E205" t="n">
        <v>47</v>
      </c>
      <c r="F205" t="inlineStr">
        <is>
          <t>Meeting NQS</t>
        </is>
      </c>
      <c r="G205" t="inlineStr">
        <is>
          <t>No</t>
        </is>
      </c>
      <c r="H205" t="inlineStr">
        <is>
          <t>No</t>
        </is>
      </c>
      <c r="I205" t="inlineStr">
        <is>
          <t>No</t>
        </is>
      </c>
      <c r="J205" t="inlineStr">
        <is>
          <t>Yes</t>
        </is>
      </c>
      <c r="K205">
        <f>IFERROR(VLOOKUP(UPPER(C205),Suburb_LGA_Map!$A:$B,2,FALSE),"")</f>
        <v/>
      </c>
    </row>
    <row r="206">
      <c r="A206" t="inlineStr">
        <is>
          <t>SE-00012051</t>
        </is>
      </c>
      <c r="B206" t="inlineStr">
        <is>
          <t>Highfields CommunityOSH</t>
        </is>
      </c>
      <c r="C206" t="inlineStr">
        <is>
          <t>LINDFIELD</t>
        </is>
      </c>
      <c r="D206" t="inlineStr">
        <is>
          <t>2070</t>
        </is>
      </c>
      <c r="E206" t="n">
        <v>41</v>
      </c>
      <c r="F206" t="inlineStr">
        <is>
          <t>Meeting NQS</t>
        </is>
      </c>
      <c r="G206" t="inlineStr">
        <is>
          <t>No</t>
        </is>
      </c>
      <c r="H206" t="inlineStr">
        <is>
          <t>No</t>
        </is>
      </c>
      <c r="I206" t="inlineStr">
        <is>
          <t>No</t>
        </is>
      </c>
      <c r="J206" t="inlineStr">
        <is>
          <t>Yes</t>
        </is>
      </c>
      <c r="K206">
        <f>IFERROR(VLOOKUP(UPPER(C206),Suburb_LGA_Map!$A:$B,2,FALSE),"")</f>
        <v/>
      </c>
    </row>
    <row r="207">
      <c r="A207" t="inlineStr">
        <is>
          <t>SE-00012054</t>
        </is>
      </c>
      <c r="B207" t="inlineStr">
        <is>
          <t>Ravenswood School TheirCare</t>
        </is>
      </c>
      <c r="C207" t="inlineStr">
        <is>
          <t>GORDON</t>
        </is>
      </c>
      <c r="D207" t="inlineStr">
        <is>
          <t>2072</t>
        </is>
      </c>
      <c r="E207" t="n">
        <v>65</v>
      </c>
      <c r="F207" t="inlineStr">
        <is>
          <t>Meeting NQS</t>
        </is>
      </c>
      <c r="G207" t="inlineStr">
        <is>
          <t>No</t>
        </is>
      </c>
      <c r="H207" t="inlineStr">
        <is>
          <t>No</t>
        </is>
      </c>
      <c r="I207" t="inlineStr">
        <is>
          <t>No</t>
        </is>
      </c>
      <c r="J207" t="inlineStr">
        <is>
          <t>Yes</t>
        </is>
      </c>
      <c r="K207">
        <f>IFERROR(VLOOKUP(UPPER(C207),Suburb_LGA_Map!$A:$B,2,FALSE),"")</f>
        <v/>
      </c>
    </row>
    <row r="208">
      <c r="A208" t="inlineStr">
        <is>
          <t>SE-40006799</t>
        </is>
      </c>
      <c r="B208" t="inlineStr">
        <is>
          <t>Little Wallabies Early Learning Centre</t>
        </is>
      </c>
      <c r="C208" t="inlineStr">
        <is>
          <t>TURRAMURRA</t>
        </is>
      </c>
      <c r="D208" t="inlineStr">
        <is>
          <t>2074</t>
        </is>
      </c>
      <c r="E208" t="n">
        <v>52</v>
      </c>
      <c r="F208" t="inlineStr">
        <is>
          <t>Meeting NQS</t>
        </is>
      </c>
      <c r="G208" t="inlineStr">
        <is>
          <t>Yes</t>
        </is>
      </c>
      <c r="H208" t="inlineStr">
        <is>
          <t>No</t>
        </is>
      </c>
      <c r="I208" t="inlineStr">
        <is>
          <t>No</t>
        </is>
      </c>
      <c r="J208" t="inlineStr">
        <is>
          <t>No</t>
        </is>
      </c>
      <c r="K208">
        <f>IFERROR(VLOOKUP(UPPER(C208),Suburb_LGA_Map!$A:$B,2,FALSE),"")</f>
        <v/>
      </c>
    </row>
    <row r="209">
      <c r="A209" t="inlineStr">
        <is>
          <t>SE-40007178</t>
        </is>
      </c>
      <c r="B209" t="inlineStr">
        <is>
          <t>Academy For Early Learners</t>
        </is>
      </c>
      <c r="C209" t="inlineStr">
        <is>
          <t>WEST PYMBLE</t>
        </is>
      </c>
      <c r="D209" t="inlineStr">
        <is>
          <t>2073</t>
        </is>
      </c>
      <c r="E209" t="n">
        <v>40</v>
      </c>
      <c r="F209" t="inlineStr">
        <is>
          <t>Meeting NQS</t>
        </is>
      </c>
      <c r="G209" t="inlineStr">
        <is>
          <t>Yes</t>
        </is>
      </c>
      <c r="H209" t="inlineStr">
        <is>
          <t>No</t>
        </is>
      </c>
      <c r="I209" t="inlineStr">
        <is>
          <t>No</t>
        </is>
      </c>
      <c r="J209" t="inlineStr">
        <is>
          <t>No</t>
        </is>
      </c>
      <c r="K209">
        <f>IFERROR(VLOOKUP(UPPER(C209),Suburb_LGA_Map!$A:$B,2,FALSE),"")</f>
        <v/>
      </c>
    </row>
    <row r="210">
      <c r="A210" t="inlineStr">
        <is>
          <t>SE-40025566</t>
        </is>
      </c>
      <c r="B210" t="inlineStr">
        <is>
          <t>Lavender Bay Preschool</t>
        </is>
      </c>
      <c r="C210" t="inlineStr">
        <is>
          <t>LAVENDER BAY</t>
        </is>
      </c>
      <c r="D210" t="inlineStr">
        <is>
          <t>2060</t>
        </is>
      </c>
      <c r="E210" t="n">
        <v>33</v>
      </c>
      <c r="F210" t="inlineStr">
        <is>
          <t>Meeting NQS</t>
        </is>
      </c>
      <c r="G210" t="inlineStr">
        <is>
          <t>Yes</t>
        </is>
      </c>
      <c r="H210" t="inlineStr">
        <is>
          <t>No</t>
        </is>
      </c>
      <c r="I210" t="inlineStr">
        <is>
          <t>No</t>
        </is>
      </c>
      <c r="J210" t="inlineStr">
        <is>
          <t>No</t>
        </is>
      </c>
      <c r="K210">
        <f>IFERROR(VLOOKUP(UPPER(C210),Suburb_LGA_Map!$A:$B,2,FALSE),"")</f>
        <v/>
      </c>
    </row>
    <row r="211">
      <c r="A211" t="inlineStr">
        <is>
          <t>SE-00007277</t>
        </is>
      </c>
      <c r="B211" t="inlineStr">
        <is>
          <t>Fit Kidz Learning Centre - Turramurra</t>
        </is>
      </c>
      <c r="C211" t="inlineStr">
        <is>
          <t>TURRAMURRA</t>
        </is>
      </c>
      <c r="D211" t="inlineStr">
        <is>
          <t>2074</t>
        </is>
      </c>
      <c r="E211" t="n">
        <v>54</v>
      </c>
      <c r="F211" t="inlineStr">
        <is>
          <t>Meeting NQS</t>
        </is>
      </c>
      <c r="G211" t="inlineStr">
        <is>
          <t>Yes</t>
        </is>
      </c>
      <c r="H211" t="inlineStr">
        <is>
          <t>No</t>
        </is>
      </c>
      <c r="I211" t="inlineStr">
        <is>
          <t>No</t>
        </is>
      </c>
      <c r="J211" t="inlineStr">
        <is>
          <t>No</t>
        </is>
      </c>
      <c r="K211">
        <f>IFERROR(VLOOKUP(UPPER(C211),Suburb_LGA_Map!$A:$B,2,FALSE),"")</f>
        <v/>
      </c>
    </row>
    <row r="212">
      <c r="A212" t="inlineStr">
        <is>
          <t>SE-00007306</t>
        </is>
      </c>
      <c r="B212" t="inlineStr">
        <is>
          <t>Uniting Frederick Street Preschool Rockdale</t>
        </is>
      </c>
      <c r="C212" t="inlineStr">
        <is>
          <t>ROCKDALE</t>
        </is>
      </c>
      <c r="D212" t="inlineStr">
        <is>
          <t>2216</t>
        </is>
      </c>
      <c r="E212" t="n">
        <v>42</v>
      </c>
      <c r="F212" t="inlineStr">
        <is>
          <t>Exceeding NQS</t>
        </is>
      </c>
      <c r="G212" t="inlineStr">
        <is>
          <t>No</t>
        </is>
      </c>
      <c r="H212" t="inlineStr">
        <is>
          <t>Yes</t>
        </is>
      </c>
      <c r="I212" t="inlineStr">
        <is>
          <t>No</t>
        </is>
      </c>
      <c r="J212" t="inlineStr">
        <is>
          <t>No</t>
        </is>
      </c>
      <c r="K212">
        <f>IFERROR(VLOOKUP(UPPER(C212),Suburb_LGA_Map!$A:$B,2,FALSE),"")</f>
        <v/>
      </c>
    </row>
    <row r="213">
      <c r="A213" t="inlineStr">
        <is>
          <t>SE-00007316</t>
        </is>
      </c>
      <c r="B213" t="inlineStr">
        <is>
          <t>Only About Children Neutral Bay</t>
        </is>
      </c>
      <c r="C213" t="inlineStr">
        <is>
          <t>NEUTRAL BAY</t>
        </is>
      </c>
      <c r="D213" t="inlineStr">
        <is>
          <t>2089</t>
        </is>
      </c>
      <c r="E213" t="n">
        <v>88</v>
      </c>
      <c r="F213" t="inlineStr">
        <is>
          <t>Meeting NQS</t>
        </is>
      </c>
      <c r="G213" t="inlineStr">
        <is>
          <t>Yes</t>
        </is>
      </c>
      <c r="H213" t="inlineStr">
        <is>
          <t>No</t>
        </is>
      </c>
      <c r="I213" t="inlineStr">
        <is>
          <t>No</t>
        </is>
      </c>
      <c r="J213" t="inlineStr">
        <is>
          <t>No</t>
        </is>
      </c>
      <c r="K213">
        <f>IFERROR(VLOOKUP(UPPER(C213),Suburb_LGA_Map!$A:$B,2,FALSE),"")</f>
        <v/>
      </c>
    </row>
    <row r="214">
      <c r="A214" t="inlineStr">
        <is>
          <t>SE-00007341</t>
        </is>
      </c>
      <c r="B214" t="inlineStr">
        <is>
          <t>Antara Childcare &amp; Preschool Bexley</t>
        </is>
      </c>
      <c r="C214" t="inlineStr">
        <is>
          <t>BEXLEY</t>
        </is>
      </c>
      <c r="D214" t="inlineStr">
        <is>
          <t>2207</t>
        </is>
      </c>
      <c r="E214" t="n">
        <v>39</v>
      </c>
      <c r="F214" t="inlineStr">
        <is>
          <t>Exceeding NQS</t>
        </is>
      </c>
      <c r="G214" t="inlineStr">
        <is>
          <t>Yes</t>
        </is>
      </c>
      <c r="H214" t="inlineStr">
        <is>
          <t>No</t>
        </is>
      </c>
      <c r="I214" t="inlineStr">
        <is>
          <t>No</t>
        </is>
      </c>
      <c r="J214" t="inlineStr">
        <is>
          <t>No</t>
        </is>
      </c>
      <c r="K214">
        <f>IFERROR(VLOOKUP(UPPER(C214),Suburb_LGA_Map!$A:$B,2,FALSE),"")</f>
        <v/>
      </c>
    </row>
    <row r="215">
      <c r="A215" t="inlineStr">
        <is>
          <t>SE-40002261</t>
        </is>
      </c>
      <c r="B215" t="inlineStr">
        <is>
          <t>Lead Early Learning Centre St Ives</t>
        </is>
      </c>
      <c r="C215" t="inlineStr">
        <is>
          <t>ST IVES</t>
        </is>
      </c>
      <c r="D215" t="inlineStr">
        <is>
          <t>2075</t>
        </is>
      </c>
      <c r="E215" t="n">
        <v>76</v>
      </c>
      <c r="F215" t="inlineStr">
        <is>
          <t>Exceeding NQS</t>
        </is>
      </c>
      <c r="G215" t="inlineStr">
        <is>
          <t>Yes</t>
        </is>
      </c>
      <c r="H215" t="inlineStr">
        <is>
          <t>No</t>
        </is>
      </c>
      <c r="I215" t="inlineStr">
        <is>
          <t>No</t>
        </is>
      </c>
      <c r="J215" t="inlineStr">
        <is>
          <t>Yes</t>
        </is>
      </c>
      <c r="K215">
        <f>IFERROR(VLOOKUP(UPPER(C215),Suburb_LGA_Map!$A:$B,2,FALSE),"")</f>
        <v/>
      </c>
    </row>
    <row r="216">
      <c r="A216" t="inlineStr">
        <is>
          <t>SE-40002675</t>
        </is>
      </c>
      <c r="B216" t="inlineStr">
        <is>
          <t>Handprints Early Learning Centre</t>
        </is>
      </c>
      <c r="C216" t="inlineStr">
        <is>
          <t>ST IVES</t>
        </is>
      </c>
      <c r="D216" t="inlineStr">
        <is>
          <t>2075</t>
        </is>
      </c>
      <c r="E216" t="n">
        <v>30</v>
      </c>
      <c r="F216" t="inlineStr">
        <is>
          <t>Exceeding NQS</t>
        </is>
      </c>
      <c r="G216" t="inlineStr">
        <is>
          <t>Yes</t>
        </is>
      </c>
      <c r="H216" t="inlineStr">
        <is>
          <t>No</t>
        </is>
      </c>
      <c r="I216" t="inlineStr">
        <is>
          <t>No</t>
        </is>
      </c>
      <c r="J216" t="inlineStr">
        <is>
          <t>No</t>
        </is>
      </c>
      <c r="K216">
        <f>IFERROR(VLOOKUP(UPPER(C216),Suburb_LGA_Map!$A:$B,2,FALSE),"")</f>
        <v/>
      </c>
    </row>
    <row r="217">
      <c r="A217" t="inlineStr">
        <is>
          <t>SE-00006215</t>
        </is>
      </c>
      <c r="B217" t="inlineStr">
        <is>
          <t>A Bright Beginning Australia {ABBA} Early Learning Centre</t>
        </is>
      </c>
      <c r="C217" t="inlineStr">
        <is>
          <t>ROSEVILLE</t>
        </is>
      </c>
      <c r="D217" t="inlineStr">
        <is>
          <t>2069</t>
        </is>
      </c>
      <c r="E217" t="n">
        <v>24</v>
      </c>
      <c r="F217" t="inlineStr">
        <is>
          <t>Meeting NQS</t>
        </is>
      </c>
      <c r="G217" t="inlineStr">
        <is>
          <t>Yes</t>
        </is>
      </c>
      <c r="H217" t="inlineStr">
        <is>
          <t>No</t>
        </is>
      </c>
      <c r="I217" t="inlineStr">
        <is>
          <t>No</t>
        </is>
      </c>
      <c r="J217" t="inlineStr">
        <is>
          <t>No</t>
        </is>
      </c>
      <c r="K217">
        <f>IFERROR(VLOOKUP(UPPER(C217),Suburb_LGA_Map!$A:$B,2,FALSE),"")</f>
        <v/>
      </c>
    </row>
    <row r="218">
      <c r="A218" t="inlineStr">
        <is>
          <t>SE-00006229</t>
        </is>
      </c>
      <c r="B218" t="inlineStr">
        <is>
          <t>Goodstart Early Learning North Sydney - Berry Street</t>
        </is>
      </c>
      <c r="C218" t="inlineStr">
        <is>
          <t>NORTH SYDNEY</t>
        </is>
      </c>
      <c r="D218" t="inlineStr">
        <is>
          <t>2060</t>
        </is>
      </c>
      <c r="E218" t="n">
        <v>88</v>
      </c>
      <c r="F218" t="inlineStr">
        <is>
          <t>Meeting NQS</t>
        </is>
      </c>
      <c r="G218" t="inlineStr">
        <is>
          <t>Yes</t>
        </is>
      </c>
      <c r="H218" t="inlineStr">
        <is>
          <t>No</t>
        </is>
      </c>
      <c r="I218" t="inlineStr">
        <is>
          <t>No</t>
        </is>
      </c>
      <c r="J218" t="inlineStr">
        <is>
          <t>No</t>
        </is>
      </c>
      <c r="K218">
        <f>IFERROR(VLOOKUP(UPPER(C218),Suburb_LGA_Map!$A:$B,2,FALSE),"")</f>
        <v/>
      </c>
    </row>
    <row r="219">
      <c r="A219" t="inlineStr">
        <is>
          <t>SE-40021747</t>
        </is>
      </c>
      <c r="B219" t="inlineStr">
        <is>
          <t>Little Angels at Mascot Central</t>
        </is>
      </c>
      <c r="C219" t="inlineStr">
        <is>
          <t>MASCOT</t>
        </is>
      </c>
      <c r="D219" t="inlineStr">
        <is>
          <t>2020</t>
        </is>
      </c>
      <c r="E219" t="n">
        <v>68</v>
      </c>
      <c r="F219" t="inlineStr">
        <is>
          <t>Meeting NQS</t>
        </is>
      </c>
      <c r="G219" t="inlineStr">
        <is>
          <t>Yes</t>
        </is>
      </c>
      <c r="H219" t="inlineStr">
        <is>
          <t>No</t>
        </is>
      </c>
      <c r="I219" t="inlineStr">
        <is>
          <t>No</t>
        </is>
      </c>
      <c r="J219" t="inlineStr">
        <is>
          <t>No</t>
        </is>
      </c>
      <c r="K219">
        <f>IFERROR(VLOOKUP(UPPER(C219),Suburb_LGA_Map!$A:$B,2,FALSE),"")</f>
        <v/>
      </c>
    </row>
    <row r="220">
      <c r="A220" t="inlineStr">
        <is>
          <t>SE-40021760</t>
        </is>
      </c>
      <c r="B220" t="inlineStr">
        <is>
          <t>Little Lions Mascot</t>
        </is>
      </c>
      <c r="C220" t="inlineStr">
        <is>
          <t>MASCOT</t>
        </is>
      </c>
      <c r="D220" t="inlineStr">
        <is>
          <t>2020</t>
        </is>
      </c>
      <c r="E220" t="n">
        <v>74</v>
      </c>
      <c r="F220" t="inlineStr">
        <is>
          <t>Meeting NQS</t>
        </is>
      </c>
      <c r="G220" t="inlineStr">
        <is>
          <t>Yes</t>
        </is>
      </c>
      <c r="H220" t="inlineStr">
        <is>
          <t>No</t>
        </is>
      </c>
      <c r="I220" t="inlineStr">
        <is>
          <t>No</t>
        </is>
      </c>
      <c r="J220" t="inlineStr">
        <is>
          <t>No</t>
        </is>
      </c>
      <c r="K220">
        <f>IFERROR(VLOOKUP(UPPER(C220),Suburb_LGA_Map!$A:$B,2,FALSE),"")</f>
        <v/>
      </c>
    </row>
    <row r="221">
      <c r="A221" t="inlineStr">
        <is>
          <t>SE-40012723</t>
        </is>
      </c>
      <c r="B221" t="inlineStr">
        <is>
          <t>Billy Kids - Pymble Early Learning Centre</t>
        </is>
      </c>
      <c r="C221" t="inlineStr">
        <is>
          <t>PYMBLE</t>
        </is>
      </c>
      <c r="D221" t="inlineStr">
        <is>
          <t>2073</t>
        </is>
      </c>
      <c r="E221" t="n">
        <v>64</v>
      </c>
      <c r="F221" t="inlineStr">
        <is>
          <t>Exceeding NQS</t>
        </is>
      </c>
      <c r="G221" t="inlineStr">
        <is>
          <t>Yes</t>
        </is>
      </c>
      <c r="H221" t="inlineStr">
        <is>
          <t>No</t>
        </is>
      </c>
      <c r="I221" t="inlineStr">
        <is>
          <t>No</t>
        </is>
      </c>
      <c r="J221" t="inlineStr">
        <is>
          <t>No</t>
        </is>
      </c>
      <c r="K221">
        <f>IFERROR(VLOOKUP(UPPER(C221),Suburb_LGA_Map!$A:$B,2,FALSE),"")</f>
        <v/>
      </c>
    </row>
    <row r="222">
      <c r="A222" t="inlineStr">
        <is>
          <t>SE-40012833</t>
        </is>
      </c>
      <c r="B222" t="inlineStr">
        <is>
          <t>Senses ELC Milsons Point</t>
        </is>
      </c>
      <c r="C222" t="inlineStr">
        <is>
          <t>MILSONS POINT</t>
        </is>
      </c>
      <c r="D222" t="inlineStr">
        <is>
          <t>2061</t>
        </is>
      </c>
      <c r="E222" t="n">
        <v>94</v>
      </c>
      <c r="F222" t="inlineStr">
        <is>
          <t>Exceeding NQS</t>
        </is>
      </c>
      <c r="G222" t="inlineStr">
        <is>
          <t>Yes</t>
        </is>
      </c>
      <c r="H222" t="inlineStr">
        <is>
          <t>No</t>
        </is>
      </c>
      <c r="I222" t="inlineStr">
        <is>
          <t>No</t>
        </is>
      </c>
      <c r="J222" t="inlineStr">
        <is>
          <t>No</t>
        </is>
      </c>
      <c r="K222">
        <f>IFERROR(VLOOKUP(UPPER(C222),Suburb_LGA_Map!$A:$B,2,FALSE),"")</f>
        <v/>
      </c>
    </row>
    <row r="223">
      <c r="A223" t="inlineStr">
        <is>
          <t>SE-00008348</t>
        </is>
      </c>
      <c r="B223" t="inlineStr">
        <is>
          <t>Mascot Early Education and Care Centre</t>
        </is>
      </c>
      <c r="C223" t="inlineStr">
        <is>
          <t>MASCOT</t>
        </is>
      </c>
      <c r="D223" t="inlineStr">
        <is>
          <t>2020</t>
        </is>
      </c>
      <c r="E223" t="n">
        <v>78</v>
      </c>
      <c r="F223" t="inlineStr">
        <is>
          <t>Exceeding NQS</t>
        </is>
      </c>
      <c r="G223" t="inlineStr">
        <is>
          <t>Yes</t>
        </is>
      </c>
      <c r="H223" t="inlineStr">
        <is>
          <t>No</t>
        </is>
      </c>
      <c r="I223" t="inlineStr">
        <is>
          <t>No</t>
        </is>
      </c>
      <c r="J223" t="inlineStr">
        <is>
          <t>No</t>
        </is>
      </c>
      <c r="K223">
        <f>IFERROR(VLOOKUP(UPPER(C223),Suburb_LGA_Map!$A:$B,2,FALSE),"")</f>
        <v/>
      </c>
    </row>
    <row r="224">
      <c r="A224" t="inlineStr">
        <is>
          <t>SE-00008349</t>
        </is>
      </c>
      <c r="B224" t="inlineStr">
        <is>
          <t>Mascot Public School Preschool</t>
        </is>
      </c>
      <c r="C224" t="inlineStr">
        <is>
          <t>MASCOT</t>
        </is>
      </c>
      <c r="D224" t="inlineStr">
        <is>
          <t>2020</t>
        </is>
      </c>
      <c r="E224" t="n">
        <v>40</v>
      </c>
      <c r="F224" t="inlineStr">
        <is>
          <t>Meeting NQS</t>
        </is>
      </c>
      <c r="G224" t="inlineStr">
        <is>
          <t>No</t>
        </is>
      </c>
      <c r="H224" t="inlineStr">
        <is>
          <t>No</t>
        </is>
      </c>
      <c r="I224" t="inlineStr">
        <is>
          <t>Yes</t>
        </is>
      </c>
      <c r="J224" t="inlineStr">
        <is>
          <t>No</t>
        </is>
      </c>
      <c r="K224">
        <f>IFERROR(VLOOKUP(UPPER(C224),Suburb_LGA_Map!$A:$B,2,FALSE),"")</f>
        <v/>
      </c>
    </row>
    <row r="225">
      <c r="A225" t="inlineStr">
        <is>
          <t>SE-00008362</t>
        </is>
      </c>
      <c r="B225" t="inlineStr">
        <is>
          <t>McMahons Point Community Preschool and Early Learning Centre</t>
        </is>
      </c>
      <c r="C225" t="inlineStr">
        <is>
          <t>MCMAHONS POINT</t>
        </is>
      </c>
      <c r="D225" t="inlineStr">
        <is>
          <t>2060</t>
        </is>
      </c>
      <c r="E225" t="n">
        <v>24</v>
      </c>
      <c r="F225" t="inlineStr">
        <is>
          <t>Meeting NQS</t>
        </is>
      </c>
      <c r="G225" t="inlineStr">
        <is>
          <t>Yes</t>
        </is>
      </c>
      <c r="H225" t="inlineStr">
        <is>
          <t>No</t>
        </is>
      </c>
      <c r="I225" t="inlineStr">
        <is>
          <t>No</t>
        </is>
      </c>
      <c r="J225" t="inlineStr">
        <is>
          <t>No</t>
        </is>
      </c>
      <c r="K225">
        <f>IFERROR(VLOOKUP(UPPER(C225),Suburb_LGA_Map!$A:$B,2,FALSE),"")</f>
        <v/>
      </c>
    </row>
    <row r="226">
      <c r="A226" t="inlineStr">
        <is>
          <t>SE-00008406</t>
        </is>
      </c>
      <c r="B226" t="inlineStr">
        <is>
          <t>Miracles on Russell</t>
        </is>
      </c>
      <c r="C226" t="inlineStr">
        <is>
          <t>SANS SOUCI</t>
        </is>
      </c>
      <c r="D226" t="inlineStr">
        <is>
          <t>2219</t>
        </is>
      </c>
      <c r="E226" t="n">
        <v>37</v>
      </c>
      <c r="F226" t="inlineStr">
        <is>
          <t>Meeting NQS</t>
        </is>
      </c>
      <c r="G226" t="inlineStr">
        <is>
          <t>Yes</t>
        </is>
      </c>
      <c r="H226" t="inlineStr">
        <is>
          <t>No</t>
        </is>
      </c>
      <c r="I226" t="inlineStr">
        <is>
          <t>No</t>
        </is>
      </c>
      <c r="J226" t="inlineStr">
        <is>
          <t>No</t>
        </is>
      </c>
      <c r="K226">
        <f>IFERROR(VLOOKUP(UPPER(C226),Suburb_LGA_Map!$A:$B,2,FALSE),"")</f>
        <v/>
      </c>
    </row>
    <row r="227">
      <c r="A227" t="inlineStr">
        <is>
          <t>SE-00017197</t>
        </is>
      </c>
      <c r="B227" t="inlineStr">
        <is>
          <t>Kool HQ Reddam House North Shore OSHC</t>
        </is>
      </c>
      <c r="C227" t="inlineStr">
        <is>
          <t>NORTH SYDNEY</t>
        </is>
      </c>
      <c r="D227" t="inlineStr">
        <is>
          <t>2060</t>
        </is>
      </c>
      <c r="E227" t="n">
        <v>50</v>
      </c>
      <c r="F227" t="inlineStr">
        <is>
          <t>Meeting NQS</t>
        </is>
      </c>
      <c r="G227" t="inlineStr">
        <is>
          <t>No</t>
        </is>
      </c>
      <c r="H227" t="inlineStr">
        <is>
          <t>No</t>
        </is>
      </c>
      <c r="I227" t="inlineStr">
        <is>
          <t>No</t>
        </is>
      </c>
      <c r="J227" t="inlineStr">
        <is>
          <t>Yes</t>
        </is>
      </c>
      <c r="K227">
        <f>IFERROR(VLOOKUP(UPPER(C227),Suburb_LGA_Map!$A:$B,2,FALSE),"")</f>
        <v/>
      </c>
    </row>
    <row r="228">
      <c r="A228" t="inlineStr">
        <is>
          <t>SE-00013391</t>
        </is>
      </c>
      <c r="B228" t="inlineStr">
        <is>
          <t>TeamKids - Gordon West Public School</t>
        </is>
      </c>
      <c r="C228" t="inlineStr">
        <is>
          <t>PYMBLE</t>
        </is>
      </c>
      <c r="D228" t="inlineStr">
        <is>
          <t>2073</t>
        </is>
      </c>
      <c r="E228" t="n">
        <v>100</v>
      </c>
      <c r="F228" t="inlineStr">
        <is>
          <t>Meeting NQS</t>
        </is>
      </c>
      <c r="G228" t="inlineStr">
        <is>
          <t>No</t>
        </is>
      </c>
      <c r="H228" t="inlineStr">
        <is>
          <t>No</t>
        </is>
      </c>
      <c r="I228" t="inlineStr">
        <is>
          <t>No</t>
        </is>
      </c>
      <c r="J228" t="inlineStr">
        <is>
          <t>Yes</t>
        </is>
      </c>
      <c r="K228">
        <f>IFERROR(VLOOKUP(UPPER(C228),Suburb_LGA_Map!$A:$B,2,FALSE),"")</f>
        <v/>
      </c>
    </row>
    <row r="229">
      <c r="A229" t="inlineStr">
        <is>
          <t>SE-00013400</t>
        </is>
      </c>
      <c r="B229" t="inlineStr">
        <is>
          <t>Sans Souci OOSH Centre Inc.</t>
        </is>
      </c>
      <c r="C229" t="inlineStr">
        <is>
          <t>SANS SOUCI</t>
        </is>
      </c>
      <c r="D229" t="inlineStr">
        <is>
          <t>2219</t>
        </is>
      </c>
      <c r="E229" t="n">
        <v>105</v>
      </c>
      <c r="F229" t="inlineStr">
        <is>
          <t>Meeting NQS</t>
        </is>
      </c>
      <c r="G229" t="inlineStr">
        <is>
          <t>No</t>
        </is>
      </c>
      <c r="H229" t="inlineStr">
        <is>
          <t>No</t>
        </is>
      </c>
      <c r="I229" t="inlineStr">
        <is>
          <t>No</t>
        </is>
      </c>
      <c r="J229" t="inlineStr">
        <is>
          <t>Yes</t>
        </is>
      </c>
      <c r="K229">
        <f>IFERROR(VLOOKUP(UPPER(C229),Suburb_LGA_Map!$A:$B,2,FALSE),"")</f>
        <v/>
      </c>
    </row>
    <row r="230">
      <c r="A230" t="inlineStr">
        <is>
          <t>SE-00013461</t>
        </is>
      </c>
      <c r="B230" t="inlineStr">
        <is>
          <t>Ramsgate Out of School Hours Care Centre Inc</t>
        </is>
      </c>
      <c r="C230" t="inlineStr">
        <is>
          <t>RAMSGATE</t>
        </is>
      </c>
      <c r="D230" t="inlineStr">
        <is>
          <t>2217</t>
        </is>
      </c>
      <c r="E230" t="n">
        <v>120</v>
      </c>
      <c r="F230" t="inlineStr">
        <is>
          <t>Meeting NQS</t>
        </is>
      </c>
      <c r="G230" t="inlineStr">
        <is>
          <t>No</t>
        </is>
      </c>
      <c r="H230" t="inlineStr">
        <is>
          <t>No</t>
        </is>
      </c>
      <c r="I230" t="inlineStr">
        <is>
          <t>No</t>
        </is>
      </c>
      <c r="J230" t="inlineStr">
        <is>
          <t>Yes</t>
        </is>
      </c>
      <c r="K230">
        <f>IFERROR(VLOOKUP(UPPER(C230),Suburb_LGA_Map!$A:$B,2,FALSE),"")</f>
        <v/>
      </c>
    </row>
    <row r="231">
      <c r="A231" t="inlineStr">
        <is>
          <t>SE-00011668</t>
        </is>
      </c>
      <c r="B231" t="inlineStr">
        <is>
          <t>Beaumont Road OSHClub</t>
        </is>
      </c>
      <c r="C231" t="inlineStr">
        <is>
          <t>KILLARA</t>
        </is>
      </c>
      <c r="D231" t="inlineStr">
        <is>
          <t>2071</t>
        </is>
      </c>
      <c r="E231" t="n">
        <v>85</v>
      </c>
      <c r="F231" t="inlineStr">
        <is>
          <t>Meeting NQS</t>
        </is>
      </c>
      <c r="G231" t="inlineStr">
        <is>
          <t>No</t>
        </is>
      </c>
      <c r="H231" t="inlineStr">
        <is>
          <t>No</t>
        </is>
      </c>
      <c r="I231" t="inlineStr">
        <is>
          <t>No</t>
        </is>
      </c>
      <c r="J231" t="inlineStr">
        <is>
          <t>Yes</t>
        </is>
      </c>
      <c r="K231">
        <f>IFERROR(VLOOKUP(UPPER(C231),Suburb_LGA_Map!$A:$B,2,FALSE),"")</f>
        <v/>
      </c>
    </row>
    <row r="232">
      <c r="A232" t="inlineStr">
        <is>
          <t>SE-00011673</t>
        </is>
      </c>
      <c r="B232" t="inlineStr">
        <is>
          <t>Gowrie NSW North Sydney Community Vacation Care</t>
        </is>
      </c>
      <c r="C232" t="inlineStr">
        <is>
          <t>NORTH SYDNEY</t>
        </is>
      </c>
      <c r="D232" t="inlineStr">
        <is>
          <t>2060</t>
        </is>
      </c>
      <c r="E232" t="n">
        <v>80</v>
      </c>
      <c r="F232" t="inlineStr">
        <is>
          <t>Exceeding NQS</t>
        </is>
      </c>
      <c r="G232" t="inlineStr">
        <is>
          <t>No</t>
        </is>
      </c>
      <c r="H232" t="inlineStr">
        <is>
          <t>No</t>
        </is>
      </c>
      <c r="I232" t="inlineStr">
        <is>
          <t>No</t>
        </is>
      </c>
      <c r="J232" t="inlineStr">
        <is>
          <t>No</t>
        </is>
      </c>
      <c r="K232">
        <f>IFERROR(VLOOKUP(UPPER(C232),Suburb_LGA_Map!$A:$B,2,FALSE),"")</f>
        <v/>
      </c>
    </row>
    <row r="233">
      <c r="A233" t="inlineStr">
        <is>
          <t>SE-00007053</t>
        </is>
      </c>
      <c r="B233" t="inlineStr">
        <is>
          <t>Crows Nest Kindergarten</t>
        </is>
      </c>
      <c r="C233" t="inlineStr">
        <is>
          <t>CROWS NEST</t>
        </is>
      </c>
      <c r="D233" t="inlineStr">
        <is>
          <t>2065</t>
        </is>
      </c>
      <c r="E233" t="n">
        <v>32</v>
      </c>
      <c r="F233" t="inlineStr">
        <is>
          <t>Meeting NQS</t>
        </is>
      </c>
      <c r="G233" t="inlineStr">
        <is>
          <t>Yes</t>
        </is>
      </c>
      <c r="H233" t="inlineStr">
        <is>
          <t>No</t>
        </is>
      </c>
      <c r="I233" t="inlineStr">
        <is>
          <t>No</t>
        </is>
      </c>
      <c r="J233" t="inlineStr">
        <is>
          <t>No</t>
        </is>
      </c>
      <c r="K233">
        <f>IFERROR(VLOOKUP(UPPER(C233),Suburb_LGA_Map!$A:$B,2,FALSE),"")</f>
        <v/>
      </c>
    </row>
    <row r="234">
      <c r="A234" t="inlineStr">
        <is>
          <t>SE-40025190</t>
        </is>
      </c>
      <c r="B234" t="inlineStr">
        <is>
          <t>Kelvin Kindergarten Long Day Care &amp; Preschool St Ives</t>
        </is>
      </c>
      <c r="C234" t="inlineStr">
        <is>
          <t>ST IVES</t>
        </is>
      </c>
      <c r="D234" t="inlineStr">
        <is>
          <t>2075</t>
        </is>
      </c>
      <c r="E234" t="n">
        <v>25</v>
      </c>
      <c r="F234" t="inlineStr">
        <is>
          <t>Meeting NQS</t>
        </is>
      </c>
      <c r="G234" t="inlineStr">
        <is>
          <t>Yes</t>
        </is>
      </c>
      <c r="H234" t="inlineStr">
        <is>
          <t>No</t>
        </is>
      </c>
      <c r="I234" t="inlineStr">
        <is>
          <t>No</t>
        </is>
      </c>
      <c r="J234" t="inlineStr">
        <is>
          <t>No</t>
        </is>
      </c>
      <c r="K234">
        <f>IFERROR(VLOOKUP(UPPER(C234),Suburb_LGA_Map!$A:$B,2,FALSE),"")</f>
        <v/>
      </c>
    </row>
    <row r="235">
      <c r="A235" t="inlineStr">
        <is>
          <t>SE-40016471</t>
        </is>
      </c>
      <c r="B235" t="inlineStr">
        <is>
          <t>Morning Star Christian Childcare Centre</t>
        </is>
      </c>
      <c r="C235" t="inlineStr">
        <is>
          <t>ROSEBERY</t>
        </is>
      </c>
      <c r="D235" t="inlineStr">
        <is>
          <t>2018</t>
        </is>
      </c>
      <c r="E235" t="n">
        <v>30</v>
      </c>
      <c r="F235" t="inlineStr">
        <is>
          <t>Meeting NQS</t>
        </is>
      </c>
      <c r="G235" t="inlineStr">
        <is>
          <t>Yes</t>
        </is>
      </c>
      <c r="H235" t="inlineStr">
        <is>
          <t>No</t>
        </is>
      </c>
      <c r="I235" t="inlineStr">
        <is>
          <t>No</t>
        </is>
      </c>
      <c r="J235" t="inlineStr">
        <is>
          <t>No</t>
        </is>
      </c>
      <c r="K235">
        <f>IFERROR(VLOOKUP(UPPER(C235),Suburb_LGA_Map!$A:$B,2,FALSE),"")</f>
        <v/>
      </c>
    </row>
    <row r="236">
      <c r="A236" t="inlineStr">
        <is>
          <t>SE-00009270</t>
        </is>
      </c>
      <c r="B236" t="inlineStr">
        <is>
          <t>The Joey Club Sydney</t>
        </is>
      </c>
      <c r="C236" t="inlineStr">
        <is>
          <t>MASCOT</t>
        </is>
      </c>
      <c r="D236" t="inlineStr">
        <is>
          <t>2020</t>
        </is>
      </c>
      <c r="E236" t="n">
        <v>73</v>
      </c>
      <c r="F236" t="inlineStr">
        <is>
          <t>Exceeding NQS</t>
        </is>
      </c>
      <c r="G236" t="inlineStr">
        <is>
          <t>Yes</t>
        </is>
      </c>
      <c r="H236" t="inlineStr">
        <is>
          <t>No</t>
        </is>
      </c>
      <c r="I236" t="inlineStr">
        <is>
          <t>No</t>
        </is>
      </c>
      <c r="J236" t="inlineStr">
        <is>
          <t>No</t>
        </is>
      </c>
      <c r="K236">
        <f>IFERROR(VLOOKUP(UPPER(C236),Suburb_LGA_Map!$A:$B,2,FALSE),"")</f>
        <v/>
      </c>
    </row>
    <row r="237">
      <c r="A237" t="inlineStr">
        <is>
          <t>SE-00018469</t>
        </is>
      </c>
      <c r="B237" t="inlineStr">
        <is>
          <t>Kiddiwinks Play Laugh &amp; Learn St. Ives</t>
        </is>
      </c>
      <c r="C237" t="inlineStr">
        <is>
          <t>ST IVES</t>
        </is>
      </c>
      <c r="D237" t="inlineStr">
        <is>
          <t>2075</t>
        </is>
      </c>
      <c r="E237" t="n">
        <v>92</v>
      </c>
      <c r="F237" t="inlineStr"/>
      <c r="G237" t="inlineStr">
        <is>
          <t>Yes</t>
        </is>
      </c>
      <c r="H237" t="inlineStr">
        <is>
          <t>No</t>
        </is>
      </c>
      <c r="I237" t="inlineStr">
        <is>
          <t>No</t>
        </is>
      </c>
      <c r="J237" t="inlineStr">
        <is>
          <t>No</t>
        </is>
      </c>
      <c r="K237">
        <f>IFERROR(VLOOKUP(UPPER(C237),Suburb_LGA_Map!$A:$B,2,FALSE),"")</f>
        <v/>
      </c>
    </row>
    <row r="238">
      <c r="A238" t="inlineStr">
        <is>
          <t>SE-40010939</t>
        </is>
      </c>
      <c r="B238" t="inlineStr">
        <is>
          <t>The After School Klub Arncliffe</t>
        </is>
      </c>
      <c r="C238" t="inlineStr">
        <is>
          <t>ARNCLIFFE</t>
        </is>
      </c>
      <c r="D238" t="inlineStr">
        <is>
          <t>2205</t>
        </is>
      </c>
      <c r="E238" t="n">
        <v>80</v>
      </c>
      <c r="F238" t="inlineStr">
        <is>
          <t>Meeting NQS</t>
        </is>
      </c>
      <c r="G238" t="inlineStr">
        <is>
          <t>No</t>
        </is>
      </c>
      <c r="H238" t="inlineStr">
        <is>
          <t>No</t>
        </is>
      </c>
      <c r="I238" t="inlineStr">
        <is>
          <t>No</t>
        </is>
      </c>
      <c r="J238" t="inlineStr">
        <is>
          <t>Yes</t>
        </is>
      </c>
      <c r="K238">
        <f>IFERROR(VLOOKUP(UPPER(C238),Suburb_LGA_Map!$A:$B,2,FALSE),"")</f>
        <v/>
      </c>
    </row>
    <row r="239">
      <c r="A239" t="inlineStr">
        <is>
          <t>SE-40011193</t>
        </is>
      </c>
      <c r="B239" t="inlineStr">
        <is>
          <t>Papilio Early Learning Killara</t>
        </is>
      </c>
      <c r="C239" t="inlineStr">
        <is>
          <t>KILLARA</t>
        </is>
      </c>
      <c r="D239" t="inlineStr">
        <is>
          <t>2071</t>
        </is>
      </c>
      <c r="E239" t="n">
        <v>92</v>
      </c>
      <c r="F239" t="inlineStr">
        <is>
          <t>Meeting NQS</t>
        </is>
      </c>
      <c r="G239" t="inlineStr">
        <is>
          <t>Yes</t>
        </is>
      </c>
      <c r="H239" t="inlineStr">
        <is>
          <t>No</t>
        </is>
      </c>
      <c r="I239" t="inlineStr">
        <is>
          <t>No</t>
        </is>
      </c>
      <c r="J239" t="inlineStr">
        <is>
          <t>No</t>
        </is>
      </c>
      <c r="K239">
        <f>IFERROR(VLOOKUP(UPPER(C239),Suburb_LGA_Map!$A:$B,2,FALSE),"")</f>
        <v/>
      </c>
    </row>
    <row r="240">
      <c r="A240" t="inlineStr">
        <is>
          <t>SE-40011228</t>
        </is>
      </c>
      <c r="B240" t="inlineStr">
        <is>
          <t>SCECS OSHC Our Lady of Fatima Kingsgrove</t>
        </is>
      </c>
      <c r="C240" t="inlineStr">
        <is>
          <t>KINGSGROVE</t>
        </is>
      </c>
      <c r="D240" t="inlineStr">
        <is>
          <t>2208</t>
        </is>
      </c>
      <c r="E240" t="n">
        <v>130</v>
      </c>
      <c r="F240" t="inlineStr">
        <is>
          <t>Meeting NQS</t>
        </is>
      </c>
      <c r="G240" t="inlineStr">
        <is>
          <t>No</t>
        </is>
      </c>
      <c r="H240" t="inlineStr">
        <is>
          <t>No</t>
        </is>
      </c>
      <c r="I240" t="inlineStr">
        <is>
          <t>No</t>
        </is>
      </c>
      <c r="J240" t="inlineStr">
        <is>
          <t>Yes</t>
        </is>
      </c>
      <c r="K240">
        <f>IFERROR(VLOOKUP(UPPER(C240),Suburb_LGA_Map!$A:$B,2,FALSE),"")</f>
        <v/>
      </c>
    </row>
    <row r="241">
      <c r="A241" t="inlineStr">
        <is>
          <t>SE-40011305</t>
        </is>
      </c>
      <c r="B241" t="inlineStr">
        <is>
          <t>Kids Academy Rosebery</t>
        </is>
      </c>
      <c r="C241" t="inlineStr">
        <is>
          <t>ROSEBERY</t>
        </is>
      </c>
      <c r="D241" t="inlineStr">
        <is>
          <t>2018</t>
        </is>
      </c>
      <c r="E241" t="n">
        <v>90</v>
      </c>
      <c r="F241" t="inlineStr">
        <is>
          <t>Meeting NQS</t>
        </is>
      </c>
      <c r="G241" t="inlineStr">
        <is>
          <t>Yes</t>
        </is>
      </c>
      <c r="H241" t="inlineStr">
        <is>
          <t>No</t>
        </is>
      </c>
      <c r="I241" t="inlineStr">
        <is>
          <t>No</t>
        </is>
      </c>
      <c r="J241" t="inlineStr">
        <is>
          <t>No</t>
        </is>
      </c>
      <c r="K241">
        <f>IFERROR(VLOOKUP(UPPER(C241),Suburb_LGA_Map!$A:$B,2,FALSE),"")</f>
        <v/>
      </c>
    </row>
    <row r="242">
      <c r="A242" t="inlineStr">
        <is>
          <t>SE-40011341</t>
        </is>
      </c>
      <c r="B242" t="inlineStr">
        <is>
          <t>Royal North Shore Hospital Child Care Centre</t>
        </is>
      </c>
      <c r="C242" t="inlineStr">
        <is>
          <t>ST LEONARDS</t>
        </is>
      </c>
      <c r="D242" t="inlineStr">
        <is>
          <t>2065</t>
        </is>
      </c>
      <c r="E242" t="n">
        <v>70</v>
      </c>
      <c r="F242" t="inlineStr">
        <is>
          <t>Meeting NQS</t>
        </is>
      </c>
      <c r="G242" t="inlineStr">
        <is>
          <t>Yes</t>
        </is>
      </c>
      <c r="H242" t="inlineStr">
        <is>
          <t>No</t>
        </is>
      </c>
      <c r="I242" t="inlineStr">
        <is>
          <t>No</t>
        </is>
      </c>
      <c r="J242" t="inlineStr">
        <is>
          <t>No</t>
        </is>
      </c>
      <c r="K242">
        <f>IFERROR(VLOOKUP(UPPER(C242),Suburb_LGA_Map!$A:$B,2,FALSE),"")</f>
        <v/>
      </c>
    </row>
    <row r="243">
      <c r="A243" t="inlineStr">
        <is>
          <t>SE-40029457</t>
        </is>
      </c>
      <c r="B243" t="inlineStr">
        <is>
          <t>Adventures Preschool and Long Day Care</t>
        </is>
      </c>
      <c r="C243" t="inlineStr">
        <is>
          <t>TURRAMURRA</t>
        </is>
      </c>
      <c r="D243" t="inlineStr">
        <is>
          <t>2074</t>
        </is>
      </c>
      <c r="E243" t="n">
        <v>74</v>
      </c>
      <c r="F243" t="inlineStr">
        <is>
          <t>Exceeding NQS</t>
        </is>
      </c>
      <c r="G243" t="inlineStr">
        <is>
          <t>Yes</t>
        </is>
      </c>
      <c r="H243" t="inlineStr">
        <is>
          <t>No</t>
        </is>
      </c>
      <c r="I243" t="inlineStr">
        <is>
          <t>No</t>
        </is>
      </c>
      <c r="J243" t="inlineStr">
        <is>
          <t>Yes</t>
        </is>
      </c>
      <c r="K243">
        <f>IFERROR(VLOOKUP(UPPER(C243),Suburb_LGA_Map!$A:$B,2,FALSE),"")</f>
        <v/>
      </c>
    </row>
    <row r="244">
      <c r="A244" t="inlineStr">
        <is>
          <t>SE-40029991</t>
        </is>
      </c>
      <c r="B244" t="inlineStr">
        <is>
          <t>FIRST 2 LEARN</t>
        </is>
      </c>
      <c r="C244" t="inlineStr">
        <is>
          <t>ROCKDALE</t>
        </is>
      </c>
      <c r="D244" t="inlineStr">
        <is>
          <t>2216</t>
        </is>
      </c>
      <c r="E244" t="n">
        <v>40</v>
      </c>
      <c r="F244" t="inlineStr">
        <is>
          <t>Working Towards NQS</t>
        </is>
      </c>
      <c r="G244" t="inlineStr">
        <is>
          <t>Yes</t>
        </is>
      </c>
      <c r="H244" t="inlineStr">
        <is>
          <t>No</t>
        </is>
      </c>
      <c r="I244" t="inlineStr">
        <is>
          <t>No</t>
        </is>
      </c>
      <c r="J244" t="inlineStr">
        <is>
          <t>No</t>
        </is>
      </c>
      <c r="K244">
        <f>IFERROR(VLOOKUP(UPPER(C244),Suburb_LGA_Map!$A:$B,2,FALSE),"")</f>
        <v/>
      </c>
    </row>
    <row r="245">
      <c r="A245" t="inlineStr">
        <is>
          <t>SE-00008069</t>
        </is>
      </c>
      <c r="B245" t="inlineStr">
        <is>
          <t>Ku-Ring-Gai Kindergarten</t>
        </is>
      </c>
      <c r="C245" t="inlineStr">
        <is>
          <t>TURRAMURRA</t>
        </is>
      </c>
      <c r="D245" t="inlineStr">
        <is>
          <t>2074</t>
        </is>
      </c>
      <c r="E245" t="n">
        <v>36</v>
      </c>
      <c r="F245" t="inlineStr">
        <is>
          <t>Exceeding NQS</t>
        </is>
      </c>
      <c r="G245" t="inlineStr">
        <is>
          <t>Yes</t>
        </is>
      </c>
      <c r="H245" t="inlineStr">
        <is>
          <t>No</t>
        </is>
      </c>
      <c r="I245" t="inlineStr">
        <is>
          <t>No</t>
        </is>
      </c>
      <c r="J245" t="inlineStr">
        <is>
          <t>No</t>
        </is>
      </c>
      <c r="K245">
        <f>IFERROR(VLOOKUP(UPPER(C245),Suburb_LGA_Map!$A:$B,2,FALSE),"")</f>
        <v/>
      </c>
    </row>
    <row r="246">
      <c r="A246" t="inlineStr">
        <is>
          <t>SE-00008075</t>
        </is>
      </c>
      <c r="B246" t="inlineStr">
        <is>
          <t>Ku-Ring-Gai Family Day Care</t>
        </is>
      </c>
      <c r="C246" t="inlineStr">
        <is>
          <t>GORDON</t>
        </is>
      </c>
      <c r="D246" t="inlineStr">
        <is>
          <t>2072</t>
        </is>
      </c>
      <c r="E246" t="inlineStr"/>
      <c r="F246" t="inlineStr">
        <is>
          <t>Meeting NQS</t>
        </is>
      </c>
      <c r="G246" t="inlineStr">
        <is>
          <t>No</t>
        </is>
      </c>
      <c r="H246" t="inlineStr">
        <is>
          <t>No</t>
        </is>
      </c>
      <c r="I246" t="inlineStr">
        <is>
          <t>No</t>
        </is>
      </c>
      <c r="J246" t="inlineStr">
        <is>
          <t>No</t>
        </is>
      </c>
      <c r="K246">
        <f>IFERROR(VLOOKUP(UPPER(C246),Suburb_LGA_Map!$A:$B,2,FALSE),"")</f>
        <v/>
      </c>
    </row>
    <row r="247">
      <c r="A247" t="inlineStr">
        <is>
          <t>SE-00008083</t>
        </is>
      </c>
      <c r="B247" t="inlineStr">
        <is>
          <t>Lady Game Community Kindergarten</t>
        </is>
      </c>
      <c r="C247" t="inlineStr">
        <is>
          <t>LINDFIELD</t>
        </is>
      </c>
      <c r="D247" t="inlineStr">
        <is>
          <t>2070</t>
        </is>
      </c>
      <c r="E247" t="n">
        <v>40</v>
      </c>
      <c r="F247" t="inlineStr">
        <is>
          <t>Meeting NQS</t>
        </is>
      </c>
      <c r="G247" t="inlineStr">
        <is>
          <t>No</t>
        </is>
      </c>
      <c r="H247" t="inlineStr">
        <is>
          <t>Yes</t>
        </is>
      </c>
      <c r="I247" t="inlineStr">
        <is>
          <t>No</t>
        </is>
      </c>
      <c r="J247" t="inlineStr">
        <is>
          <t>No</t>
        </is>
      </c>
      <c r="K247">
        <f>IFERROR(VLOOKUP(UPPER(C247),Suburb_LGA_Map!$A:$B,2,FALSE),"")</f>
        <v/>
      </c>
    </row>
    <row r="248">
      <c r="A248" t="inlineStr">
        <is>
          <t>SE-00008084</t>
        </is>
      </c>
      <c r="B248" t="inlineStr">
        <is>
          <t>Ladybugs Daycare</t>
        </is>
      </c>
      <c r="C248" t="inlineStr">
        <is>
          <t>TURRELLA</t>
        </is>
      </c>
      <c r="D248" t="inlineStr">
        <is>
          <t>2205</t>
        </is>
      </c>
      <c r="E248" t="n">
        <v>49</v>
      </c>
      <c r="F248" t="inlineStr">
        <is>
          <t>Meeting NQS</t>
        </is>
      </c>
      <c r="G248" t="inlineStr">
        <is>
          <t>Yes</t>
        </is>
      </c>
      <c r="H248" t="inlineStr">
        <is>
          <t>No</t>
        </is>
      </c>
      <c r="I248" t="inlineStr">
        <is>
          <t>No</t>
        </is>
      </c>
      <c r="J248" t="inlineStr">
        <is>
          <t>No</t>
        </is>
      </c>
      <c r="K248">
        <f>IFERROR(VLOOKUP(UPPER(C248),Suburb_LGA_Map!$A:$B,2,FALSE),"")</f>
        <v/>
      </c>
    </row>
    <row r="249">
      <c r="A249" t="inlineStr">
        <is>
          <t>SE-00008117</t>
        </is>
      </c>
      <c r="B249" t="inlineStr">
        <is>
          <t>Learn &amp; Laugh</t>
        </is>
      </c>
      <c r="C249" t="inlineStr">
        <is>
          <t>ROSEBERY</t>
        </is>
      </c>
      <c r="D249" t="inlineStr">
        <is>
          <t>2018</t>
        </is>
      </c>
      <c r="E249" t="n">
        <v>56</v>
      </c>
      <c r="F249" t="inlineStr">
        <is>
          <t>Meeting NQS</t>
        </is>
      </c>
      <c r="G249" t="inlineStr">
        <is>
          <t>Yes</t>
        </is>
      </c>
      <c r="H249" t="inlineStr">
        <is>
          <t>No</t>
        </is>
      </c>
      <c r="I249" t="inlineStr">
        <is>
          <t>No</t>
        </is>
      </c>
      <c r="J249" t="inlineStr">
        <is>
          <t>No</t>
        </is>
      </c>
      <c r="K249">
        <f>IFERROR(VLOOKUP(UPPER(C249),Suburb_LGA_Map!$A:$B,2,FALSE),"")</f>
        <v/>
      </c>
    </row>
    <row r="250">
      <c r="A250" t="inlineStr">
        <is>
          <t>SE-00008143</t>
        </is>
      </c>
      <c r="B250" t="inlineStr">
        <is>
          <t>Lilliput Corner Nursery School</t>
        </is>
      </c>
      <c r="C250" t="inlineStr">
        <is>
          <t>BRIGHTON-LE-SANDS</t>
        </is>
      </c>
      <c r="D250" t="inlineStr">
        <is>
          <t>2216</t>
        </is>
      </c>
      <c r="E250" t="n">
        <v>27</v>
      </c>
      <c r="F250" t="inlineStr">
        <is>
          <t>Meeting NQS</t>
        </is>
      </c>
      <c r="G250" t="inlineStr">
        <is>
          <t>Yes</t>
        </is>
      </c>
      <c r="H250" t="inlineStr">
        <is>
          <t>No</t>
        </is>
      </c>
      <c r="I250" t="inlineStr">
        <is>
          <t>No</t>
        </is>
      </c>
      <c r="J250" t="inlineStr">
        <is>
          <t>No</t>
        </is>
      </c>
      <c r="K250">
        <f>IFERROR(VLOOKUP(UPPER(C250),Suburb_LGA_Map!$A:$B,2,FALSE),"")</f>
        <v/>
      </c>
    </row>
    <row r="251">
      <c r="A251" t="inlineStr">
        <is>
          <t>SE-00008182</t>
        </is>
      </c>
      <c r="B251" t="inlineStr">
        <is>
          <t>Little Dolphins Long Day Care Centre</t>
        </is>
      </c>
      <c r="C251" t="inlineStr">
        <is>
          <t>BRIGHTON-LE-SANDS</t>
        </is>
      </c>
      <c r="D251" t="inlineStr">
        <is>
          <t>2216</t>
        </is>
      </c>
      <c r="E251" t="n">
        <v>46</v>
      </c>
      <c r="F251" t="inlineStr">
        <is>
          <t>Meeting NQS</t>
        </is>
      </c>
      <c r="G251" t="inlineStr">
        <is>
          <t>Yes</t>
        </is>
      </c>
      <c r="H251" t="inlineStr">
        <is>
          <t>No</t>
        </is>
      </c>
      <c r="I251" t="inlineStr">
        <is>
          <t>No</t>
        </is>
      </c>
      <c r="J251" t="inlineStr">
        <is>
          <t>No</t>
        </is>
      </c>
      <c r="K251">
        <f>IFERROR(VLOOKUP(UPPER(C251),Suburb_LGA_Map!$A:$B,2,FALSE),"")</f>
        <v/>
      </c>
    </row>
    <row r="252">
      <c r="A252" t="inlineStr">
        <is>
          <t>SE-00016997</t>
        </is>
      </c>
      <c r="B252" t="inlineStr">
        <is>
          <t>East Killara Montessori Preschool</t>
        </is>
      </c>
      <c r="C252" t="inlineStr">
        <is>
          <t>EAST KILLARA</t>
        </is>
      </c>
      <c r="D252" t="inlineStr">
        <is>
          <t>2071</t>
        </is>
      </c>
      <c r="E252" t="n">
        <v>42</v>
      </c>
      <c r="F252" t="inlineStr">
        <is>
          <t>Meeting NQS</t>
        </is>
      </c>
      <c r="G252" t="inlineStr">
        <is>
          <t>Yes</t>
        </is>
      </c>
      <c r="H252" t="inlineStr">
        <is>
          <t>No</t>
        </is>
      </c>
      <c r="I252" t="inlineStr">
        <is>
          <t>No</t>
        </is>
      </c>
      <c r="J252" t="inlineStr">
        <is>
          <t>No</t>
        </is>
      </c>
      <c r="K252">
        <f>IFERROR(VLOOKUP(UPPER(C252),Suburb_LGA_Map!$A:$B,2,FALSE),"")</f>
        <v/>
      </c>
    </row>
    <row r="253">
      <c r="A253" t="inlineStr">
        <is>
          <t>SE-40020765</t>
        </is>
      </c>
      <c r="B253" t="inlineStr">
        <is>
          <t>The After School Klub Bexley</t>
        </is>
      </c>
      <c r="C253" t="inlineStr">
        <is>
          <t>BEXLEY</t>
        </is>
      </c>
      <c r="D253" t="inlineStr">
        <is>
          <t>2207</t>
        </is>
      </c>
      <c r="E253" t="n">
        <v>55</v>
      </c>
      <c r="F253" t="inlineStr">
        <is>
          <t>Meeting NQS</t>
        </is>
      </c>
      <c r="G253" t="inlineStr">
        <is>
          <t>No</t>
        </is>
      </c>
      <c r="H253" t="inlineStr">
        <is>
          <t>No</t>
        </is>
      </c>
      <c r="I253" t="inlineStr">
        <is>
          <t>No</t>
        </is>
      </c>
      <c r="J253" t="inlineStr">
        <is>
          <t>Yes</t>
        </is>
      </c>
      <c r="K253">
        <f>IFERROR(VLOOKUP(UPPER(C253),Suburb_LGA_Map!$A:$B,2,FALSE),"")</f>
        <v/>
      </c>
    </row>
    <row r="254">
      <c r="A254" t="inlineStr">
        <is>
          <t>SE-40021026</t>
        </is>
      </c>
      <c r="B254" t="inlineStr">
        <is>
          <t>SCECS OSHC Marist North Shore</t>
        </is>
      </c>
      <c r="C254" t="inlineStr">
        <is>
          <t>NORTH SYDNEY</t>
        </is>
      </c>
      <c r="D254" t="inlineStr">
        <is>
          <t>2060</t>
        </is>
      </c>
      <c r="E254" t="n">
        <v>125</v>
      </c>
      <c r="F254" t="inlineStr">
        <is>
          <t>Meeting NQS</t>
        </is>
      </c>
      <c r="G254" t="inlineStr">
        <is>
          <t>No</t>
        </is>
      </c>
      <c r="H254" t="inlineStr">
        <is>
          <t>No</t>
        </is>
      </c>
      <c r="I254" t="inlineStr">
        <is>
          <t>No</t>
        </is>
      </c>
      <c r="J254" t="inlineStr">
        <is>
          <t>Yes</t>
        </is>
      </c>
      <c r="K254">
        <f>IFERROR(VLOOKUP(UPPER(C254),Suburb_LGA_Map!$A:$B,2,FALSE),"")</f>
        <v/>
      </c>
    </row>
    <row r="255">
      <c r="A255" t="inlineStr">
        <is>
          <t>SE-40001789</t>
        </is>
      </c>
      <c r="B255" t="inlineStr">
        <is>
          <t>Sydney Grammar School (St Ives) TheirCare</t>
        </is>
      </c>
      <c r="C255" t="inlineStr">
        <is>
          <t>ST IVES</t>
        </is>
      </c>
      <c r="D255" t="inlineStr">
        <is>
          <t>2075</t>
        </is>
      </c>
      <c r="E255" t="n">
        <v>50</v>
      </c>
      <c r="F255" t="inlineStr">
        <is>
          <t>Meeting NQS</t>
        </is>
      </c>
      <c r="G255" t="inlineStr">
        <is>
          <t>No</t>
        </is>
      </c>
      <c r="H255" t="inlineStr">
        <is>
          <t>No</t>
        </is>
      </c>
      <c r="I255" t="inlineStr">
        <is>
          <t>No</t>
        </is>
      </c>
      <c r="J255" t="inlineStr">
        <is>
          <t>Yes</t>
        </is>
      </c>
      <c r="K255">
        <f>IFERROR(VLOOKUP(UPPER(C255),Suburb_LGA_Map!$A:$B,2,FALSE),"")</f>
        <v/>
      </c>
    </row>
    <row r="256">
      <c r="A256" t="inlineStr">
        <is>
          <t>SE-00006622</t>
        </is>
      </c>
      <c r="B256" t="inlineStr">
        <is>
          <t>Bexley Jack &amp; Jill Pre-School</t>
        </is>
      </c>
      <c r="C256" t="inlineStr">
        <is>
          <t>BEXLEY</t>
        </is>
      </c>
      <c r="D256" t="inlineStr">
        <is>
          <t>2207</t>
        </is>
      </c>
      <c r="E256" t="n">
        <v>37</v>
      </c>
      <c r="F256" t="inlineStr">
        <is>
          <t>Exceeding NQS</t>
        </is>
      </c>
      <c r="G256" t="inlineStr">
        <is>
          <t>No</t>
        </is>
      </c>
      <c r="H256" t="inlineStr">
        <is>
          <t>Yes</t>
        </is>
      </c>
      <c r="I256" t="inlineStr">
        <is>
          <t>No</t>
        </is>
      </c>
      <c r="J256" t="inlineStr">
        <is>
          <t>No</t>
        </is>
      </c>
      <c r="K256">
        <f>IFERROR(VLOOKUP(UPPER(C256),Suburb_LGA_Map!$A:$B,2,FALSE),"")</f>
        <v/>
      </c>
    </row>
    <row r="257">
      <c r="A257" t="inlineStr">
        <is>
          <t>SE-40003623</t>
        </is>
      </c>
      <c r="B257" t="inlineStr">
        <is>
          <t>Alfred Academy Early Learning Centre</t>
        </is>
      </c>
      <c r="C257" t="inlineStr">
        <is>
          <t>SANS SOUCI</t>
        </is>
      </c>
      <c r="D257" t="inlineStr">
        <is>
          <t>2219</t>
        </is>
      </c>
      <c r="E257" t="n">
        <v>39</v>
      </c>
      <c r="F257" t="inlineStr">
        <is>
          <t>Exceeding NQS</t>
        </is>
      </c>
      <c r="G257" t="inlineStr">
        <is>
          <t>Yes</t>
        </is>
      </c>
      <c r="H257" t="inlineStr">
        <is>
          <t>No</t>
        </is>
      </c>
      <c r="I257" t="inlineStr">
        <is>
          <t>No</t>
        </is>
      </c>
      <c r="J257" t="inlineStr">
        <is>
          <t>No</t>
        </is>
      </c>
      <c r="K257">
        <f>IFERROR(VLOOKUP(UPPER(C257),Suburb_LGA_Map!$A:$B,2,FALSE),"")</f>
        <v/>
      </c>
    </row>
    <row r="258">
      <c r="A258" t="inlineStr">
        <is>
          <t>SE-00017683</t>
        </is>
      </c>
      <c r="B258" t="inlineStr">
        <is>
          <t>3Bridges St Mary &amp; St Mina</t>
        </is>
      </c>
      <c r="C258" t="inlineStr">
        <is>
          <t>BEXLEY</t>
        </is>
      </c>
      <c r="D258" t="inlineStr">
        <is>
          <t>2207</t>
        </is>
      </c>
      <c r="E258" t="n">
        <v>25</v>
      </c>
      <c r="F258" t="inlineStr"/>
      <c r="G258" t="inlineStr">
        <is>
          <t>No</t>
        </is>
      </c>
      <c r="H258" t="inlineStr">
        <is>
          <t>No</t>
        </is>
      </c>
      <c r="I258" t="inlineStr">
        <is>
          <t>No</t>
        </is>
      </c>
      <c r="J258" t="inlineStr">
        <is>
          <t>Yes</t>
        </is>
      </c>
      <c r="K258">
        <f>IFERROR(VLOOKUP(UPPER(C258),Suburb_LGA_Map!$A:$B,2,FALSE),"")</f>
        <v/>
      </c>
    </row>
    <row r="259">
      <c r="A259" t="inlineStr">
        <is>
          <t>SE-00017731</t>
        </is>
      </c>
      <c r="B259" t="inlineStr">
        <is>
          <t>TeamKids - Matraville Public School</t>
        </is>
      </c>
      <c r="C259" t="inlineStr">
        <is>
          <t>HILLSDALE</t>
        </is>
      </c>
      <c r="D259" t="inlineStr">
        <is>
          <t>2036</t>
        </is>
      </c>
      <c r="E259" t="n">
        <v>80</v>
      </c>
      <c r="F259" t="inlineStr"/>
      <c r="G259" t="inlineStr">
        <is>
          <t>No</t>
        </is>
      </c>
      <c r="H259" t="inlineStr">
        <is>
          <t>No</t>
        </is>
      </c>
      <c r="I259" t="inlineStr">
        <is>
          <t>No</t>
        </is>
      </c>
      <c r="J259" t="inlineStr">
        <is>
          <t>Yes</t>
        </is>
      </c>
      <c r="K259">
        <f>IFERROR(VLOOKUP(UPPER(C259),Suburb_LGA_Map!$A:$B,2,FALSE),"")</f>
        <v/>
      </c>
    </row>
    <row r="260">
      <c r="A260" t="inlineStr">
        <is>
          <t>SE-00017769</t>
        </is>
      </c>
      <c r="B260" t="inlineStr">
        <is>
          <t>Giggle and Learn Early Childcare and Education</t>
        </is>
      </c>
      <c r="C260" t="inlineStr">
        <is>
          <t>PYMBLE</t>
        </is>
      </c>
      <c r="D260" t="inlineStr">
        <is>
          <t>2073</t>
        </is>
      </c>
      <c r="E260" t="n">
        <v>62</v>
      </c>
      <c r="F260" t="inlineStr"/>
      <c r="G260" t="inlineStr">
        <is>
          <t>Yes</t>
        </is>
      </c>
      <c r="H260" t="inlineStr">
        <is>
          <t>No</t>
        </is>
      </c>
      <c r="I260" t="inlineStr">
        <is>
          <t>No</t>
        </is>
      </c>
      <c r="J260" t="inlineStr">
        <is>
          <t>No</t>
        </is>
      </c>
      <c r="K260">
        <f>IFERROR(VLOOKUP(UPPER(C260),Suburb_LGA_Map!$A:$B,2,FALSE),"")</f>
        <v/>
      </c>
    </row>
    <row r="261">
      <c r="A261" t="inlineStr">
        <is>
          <t>SE-40014265</t>
        </is>
      </c>
      <c r="B261" t="inlineStr">
        <is>
          <t>SCECS OSHC St Michael's Daceyville</t>
        </is>
      </c>
      <c r="C261" t="inlineStr">
        <is>
          <t>DACEYVILLE</t>
        </is>
      </c>
      <c r="D261" t="inlineStr">
        <is>
          <t>2032</t>
        </is>
      </c>
      <c r="E261" t="n">
        <v>105</v>
      </c>
      <c r="F261" t="inlineStr">
        <is>
          <t>Meeting NQS</t>
        </is>
      </c>
      <c r="G261" t="inlineStr">
        <is>
          <t>No</t>
        </is>
      </c>
      <c r="H261" t="inlineStr">
        <is>
          <t>No</t>
        </is>
      </c>
      <c r="I261" t="inlineStr">
        <is>
          <t>No</t>
        </is>
      </c>
      <c r="J261" t="inlineStr">
        <is>
          <t>Yes</t>
        </is>
      </c>
      <c r="K261">
        <f>IFERROR(VLOOKUP(UPPER(C261),Suburb_LGA_Map!$A:$B,2,FALSE),"")</f>
        <v/>
      </c>
    </row>
    <row r="262">
      <c r="A262" t="inlineStr">
        <is>
          <t>SE-40014286</t>
        </is>
      </c>
      <c r="B262" t="inlineStr">
        <is>
          <t>Learn Bright Early Learning Centre</t>
        </is>
      </c>
      <c r="C262" t="inlineStr">
        <is>
          <t>KINGSGROVE</t>
        </is>
      </c>
      <c r="D262" t="inlineStr">
        <is>
          <t>2208</t>
        </is>
      </c>
      <c r="E262" t="n">
        <v>39</v>
      </c>
      <c r="F262" t="inlineStr">
        <is>
          <t>Meeting NQS</t>
        </is>
      </c>
      <c r="G262" t="inlineStr">
        <is>
          <t>Yes</t>
        </is>
      </c>
      <c r="H262" t="inlineStr">
        <is>
          <t>No</t>
        </is>
      </c>
      <c r="I262" t="inlineStr">
        <is>
          <t>No</t>
        </is>
      </c>
      <c r="J262" t="inlineStr">
        <is>
          <t>No</t>
        </is>
      </c>
      <c r="K262">
        <f>IFERROR(VLOOKUP(UPPER(C262),Suburb_LGA_Map!$A:$B,2,FALSE),"")</f>
        <v/>
      </c>
    </row>
    <row r="263">
      <c r="A263" t="inlineStr">
        <is>
          <t>SE-40014392</t>
        </is>
      </c>
      <c r="B263" t="inlineStr">
        <is>
          <t>The Scots College OOSH</t>
        </is>
      </c>
      <c r="C263" t="inlineStr">
        <is>
          <t>DOLLS POINT</t>
        </is>
      </c>
      <c r="D263" t="inlineStr">
        <is>
          <t>2219</t>
        </is>
      </c>
      <c r="E263" t="n">
        <v>20</v>
      </c>
      <c r="F263" t="inlineStr">
        <is>
          <t>Meeting NQS</t>
        </is>
      </c>
      <c r="G263" t="inlineStr">
        <is>
          <t>No</t>
        </is>
      </c>
      <c r="H263" t="inlineStr">
        <is>
          <t>No</t>
        </is>
      </c>
      <c r="I263" t="inlineStr">
        <is>
          <t>No</t>
        </is>
      </c>
      <c r="J263" t="inlineStr">
        <is>
          <t>Yes</t>
        </is>
      </c>
      <c r="K263">
        <f>IFERROR(VLOOKUP(UPPER(C263),Suburb_LGA_Map!$A:$B,2,FALSE),"")</f>
        <v/>
      </c>
    </row>
    <row r="264">
      <c r="A264" t="inlineStr">
        <is>
          <t>SE-40014593</t>
        </is>
      </c>
      <c r="B264" t="inlineStr">
        <is>
          <t>Little Steps Early Learning Centre</t>
        </is>
      </c>
      <c r="C264" t="inlineStr">
        <is>
          <t>EAST LINDFIELD</t>
        </is>
      </c>
      <c r="D264" t="inlineStr">
        <is>
          <t>2070</t>
        </is>
      </c>
      <c r="E264" t="n">
        <v>40</v>
      </c>
      <c r="F264" t="inlineStr">
        <is>
          <t>Exceeding NQS</t>
        </is>
      </c>
      <c r="G264" t="inlineStr">
        <is>
          <t>Yes</t>
        </is>
      </c>
      <c r="H264" t="inlineStr">
        <is>
          <t>No</t>
        </is>
      </c>
      <c r="I264" t="inlineStr">
        <is>
          <t>No</t>
        </is>
      </c>
      <c r="J264" t="inlineStr">
        <is>
          <t>No</t>
        </is>
      </c>
      <c r="K264">
        <f>IFERROR(VLOOKUP(UPPER(C264),Suburb_LGA_Map!$A:$B,2,FALSE),"")</f>
        <v/>
      </c>
    </row>
    <row r="265">
      <c r="A265" t="inlineStr">
        <is>
          <t>SE-00007610</t>
        </is>
      </c>
      <c r="B265" t="inlineStr">
        <is>
          <t>Integricare Early Learning Centre Rockdale</t>
        </is>
      </c>
      <c r="C265" t="inlineStr">
        <is>
          <t>ROCKDALE</t>
        </is>
      </c>
      <c r="D265" t="inlineStr">
        <is>
          <t>2216</t>
        </is>
      </c>
      <c r="E265" t="n">
        <v>51</v>
      </c>
      <c r="F265" t="inlineStr">
        <is>
          <t>Exceeding NQS</t>
        </is>
      </c>
      <c r="G265" t="inlineStr">
        <is>
          <t>Yes</t>
        </is>
      </c>
      <c r="H265" t="inlineStr">
        <is>
          <t>No</t>
        </is>
      </c>
      <c r="I265" t="inlineStr">
        <is>
          <t>No</t>
        </is>
      </c>
      <c r="J265" t="inlineStr">
        <is>
          <t>No</t>
        </is>
      </c>
      <c r="K265">
        <f>IFERROR(VLOOKUP(UPPER(C265),Suburb_LGA_Map!$A:$B,2,FALSE),"")</f>
        <v/>
      </c>
    </row>
    <row r="266">
      <c r="A266" t="inlineStr">
        <is>
          <t>SE-00007611</t>
        </is>
      </c>
      <c r="B266" t="inlineStr">
        <is>
          <t>Integricare Early Learning Centre Turrella</t>
        </is>
      </c>
      <c r="C266" t="inlineStr">
        <is>
          <t>TURRELLA</t>
        </is>
      </c>
      <c r="D266" t="inlineStr">
        <is>
          <t>2205</t>
        </is>
      </c>
      <c r="E266" t="n">
        <v>64</v>
      </c>
      <c r="F266" t="inlineStr">
        <is>
          <t>Meeting NQS</t>
        </is>
      </c>
      <c r="G266" t="inlineStr">
        <is>
          <t>Yes</t>
        </is>
      </c>
      <c r="H266" t="inlineStr">
        <is>
          <t>No</t>
        </is>
      </c>
      <c r="I266" t="inlineStr">
        <is>
          <t>No</t>
        </is>
      </c>
      <c r="J266" t="inlineStr">
        <is>
          <t>No</t>
        </is>
      </c>
      <c r="K266">
        <f>IFERROR(VLOOKUP(UPPER(C266),Suburb_LGA_Map!$A:$B,2,FALSE),"")</f>
        <v/>
      </c>
    </row>
    <row r="267">
      <c r="A267" t="inlineStr">
        <is>
          <t>SE-00007674</t>
        </is>
      </c>
      <c r="B267" t="inlineStr">
        <is>
          <t>Toybox Early Learning</t>
        </is>
      </c>
      <c r="C267" t="inlineStr">
        <is>
          <t>NORTH SYDNEY</t>
        </is>
      </c>
      <c r="D267" t="inlineStr">
        <is>
          <t>2060</t>
        </is>
      </c>
      <c r="E267" t="n">
        <v>38</v>
      </c>
      <c r="F267" t="inlineStr">
        <is>
          <t>Meeting NQS</t>
        </is>
      </c>
      <c r="G267" t="inlineStr">
        <is>
          <t>Yes</t>
        </is>
      </c>
      <c r="H267" t="inlineStr">
        <is>
          <t>No</t>
        </is>
      </c>
      <c r="I267" t="inlineStr">
        <is>
          <t>No</t>
        </is>
      </c>
      <c r="J267" t="inlineStr">
        <is>
          <t>No</t>
        </is>
      </c>
      <c r="K267">
        <f>IFERROR(VLOOKUP(UPPER(C267),Suburb_LGA_Map!$A:$B,2,FALSE),"")</f>
        <v/>
      </c>
    </row>
    <row r="268">
      <c r="A268" t="inlineStr">
        <is>
          <t>SE-00007685</t>
        </is>
      </c>
      <c r="B268" t="inlineStr">
        <is>
          <t>John Brotchie Nursery School</t>
        </is>
      </c>
      <c r="C268" t="inlineStr">
        <is>
          <t>BOTANY</t>
        </is>
      </c>
      <c r="D268" t="inlineStr">
        <is>
          <t>2019</t>
        </is>
      </c>
      <c r="E268" t="n">
        <v>40</v>
      </c>
      <c r="F268" t="inlineStr">
        <is>
          <t>Exceeding NQS</t>
        </is>
      </c>
      <c r="G268" t="inlineStr">
        <is>
          <t>No</t>
        </is>
      </c>
      <c r="H268" t="inlineStr">
        <is>
          <t>Yes</t>
        </is>
      </c>
      <c r="I268" t="inlineStr">
        <is>
          <t>No</t>
        </is>
      </c>
      <c r="J268" t="inlineStr">
        <is>
          <t>No</t>
        </is>
      </c>
      <c r="K268">
        <f>IFERROR(VLOOKUP(UPPER(C268),Suburb_LGA_Map!$A:$B,2,FALSE),"")</f>
        <v/>
      </c>
    </row>
    <row r="269">
      <c r="A269" t="inlineStr">
        <is>
          <t>SE-40008393</t>
        </is>
      </c>
      <c r="B269" t="inlineStr">
        <is>
          <t>St Aloysius College, Kirribilli OSHC- Extend</t>
        </is>
      </c>
      <c r="C269" t="inlineStr">
        <is>
          <t>MILSONS POINT</t>
        </is>
      </c>
      <c r="D269" t="inlineStr">
        <is>
          <t>2061</t>
        </is>
      </c>
      <c r="E269" t="n">
        <v>24</v>
      </c>
      <c r="F269" t="inlineStr">
        <is>
          <t>Meeting NQS</t>
        </is>
      </c>
      <c r="G269" t="inlineStr">
        <is>
          <t>No</t>
        </is>
      </c>
      <c r="H269" t="inlineStr">
        <is>
          <t>No</t>
        </is>
      </c>
      <c r="I269" t="inlineStr">
        <is>
          <t>No</t>
        </is>
      </c>
      <c r="J269" t="inlineStr">
        <is>
          <t>Yes</t>
        </is>
      </c>
      <c r="K269">
        <f>IFERROR(VLOOKUP(UPPER(C269),Suburb_LGA_Map!$A:$B,2,FALSE),"")</f>
        <v/>
      </c>
    </row>
    <row r="270">
      <c r="A270" t="inlineStr">
        <is>
          <t>SE-40008598</t>
        </is>
      </c>
      <c r="B270" t="inlineStr">
        <is>
          <t>Kids Klub Wahroonga</t>
        </is>
      </c>
      <c r="C270" t="inlineStr">
        <is>
          <t>WAHROONGA</t>
        </is>
      </c>
      <c r="D270" t="inlineStr">
        <is>
          <t>2076</t>
        </is>
      </c>
      <c r="E270" t="n">
        <v>80</v>
      </c>
      <c r="F270" t="inlineStr">
        <is>
          <t>Meeting NQS</t>
        </is>
      </c>
      <c r="G270" t="inlineStr">
        <is>
          <t>No</t>
        </is>
      </c>
      <c r="H270" t="inlineStr">
        <is>
          <t>No</t>
        </is>
      </c>
      <c r="I270" t="inlineStr">
        <is>
          <t>No</t>
        </is>
      </c>
      <c r="J270" t="inlineStr">
        <is>
          <t>Yes</t>
        </is>
      </c>
      <c r="K270">
        <f>IFERROR(VLOOKUP(UPPER(C270),Suburb_LGA_Map!$A:$B,2,FALSE),"")</f>
        <v/>
      </c>
    </row>
    <row r="271">
      <c r="A271" t="inlineStr">
        <is>
          <t>SE-40000366</t>
        </is>
      </c>
      <c r="B271" t="inlineStr">
        <is>
          <t>Sacred Heart Outside School Hours Care</t>
        </is>
      </c>
      <c r="C271" t="inlineStr">
        <is>
          <t>PYMBLE</t>
        </is>
      </c>
      <c r="D271" t="inlineStr">
        <is>
          <t>2073</t>
        </is>
      </c>
      <c r="E271" t="n">
        <v>100</v>
      </c>
      <c r="F271" t="inlineStr">
        <is>
          <t>Meeting NQS</t>
        </is>
      </c>
      <c r="G271" t="inlineStr">
        <is>
          <t>No</t>
        </is>
      </c>
      <c r="H271" t="inlineStr">
        <is>
          <t>No</t>
        </is>
      </c>
      <c r="I271" t="inlineStr">
        <is>
          <t>No</t>
        </is>
      </c>
      <c r="J271" t="inlineStr">
        <is>
          <t>Yes</t>
        </is>
      </c>
      <c r="K271">
        <f>IFERROR(VLOOKUP(UPPER(C271),Suburb_LGA_Map!$A:$B,2,FALSE),"")</f>
        <v/>
      </c>
    </row>
    <row r="272">
      <c r="A272" t="inlineStr">
        <is>
          <t>SE-40000397</t>
        </is>
      </c>
      <c r="B272" t="inlineStr">
        <is>
          <t>OLPS FJs Outside School Hours Care</t>
        </is>
      </c>
      <c r="C272" t="inlineStr">
        <is>
          <t>WEST PYMBLE</t>
        </is>
      </c>
      <c r="D272" t="inlineStr">
        <is>
          <t>2073</t>
        </is>
      </c>
      <c r="E272" t="n">
        <v>60</v>
      </c>
      <c r="F272" t="inlineStr">
        <is>
          <t>Meeting NQS</t>
        </is>
      </c>
      <c r="G272" t="inlineStr">
        <is>
          <t>No</t>
        </is>
      </c>
      <c r="H272" t="inlineStr">
        <is>
          <t>No</t>
        </is>
      </c>
      <c r="I272" t="inlineStr">
        <is>
          <t>No</t>
        </is>
      </c>
      <c r="J272" t="inlineStr">
        <is>
          <t>Yes</t>
        </is>
      </c>
      <c r="K272">
        <f>IFERROR(VLOOKUP(UPPER(C272),Suburb_LGA_Map!$A:$B,2,FALSE),"")</f>
        <v/>
      </c>
    </row>
    <row r="273">
      <c r="A273" t="inlineStr">
        <is>
          <t>SE-40000432</t>
        </is>
      </c>
      <c r="B273" t="inlineStr">
        <is>
          <t>Sydney Family Day Care Scheme</t>
        </is>
      </c>
      <c r="C273" t="inlineStr">
        <is>
          <t>ST LEONARDS</t>
        </is>
      </c>
      <c r="D273" t="inlineStr">
        <is>
          <t>2065</t>
        </is>
      </c>
      <c r="E273" t="inlineStr"/>
      <c r="F273" t="inlineStr">
        <is>
          <t>Meeting NQS</t>
        </is>
      </c>
      <c r="G273" t="inlineStr">
        <is>
          <t>No</t>
        </is>
      </c>
      <c r="H273" t="inlineStr">
        <is>
          <t>No</t>
        </is>
      </c>
      <c r="I273" t="inlineStr">
        <is>
          <t>No</t>
        </is>
      </c>
      <c r="J273" t="inlineStr">
        <is>
          <t>No</t>
        </is>
      </c>
      <c r="K273">
        <f>IFERROR(VLOOKUP(UPPER(C273),Suburb_LGA_Map!$A:$B,2,FALSE),"")</f>
        <v/>
      </c>
    </row>
    <row r="274">
      <c r="A274" t="inlineStr">
        <is>
          <t>SE-40000529</t>
        </is>
      </c>
      <c r="B274" t="inlineStr">
        <is>
          <t>Out of School Hours Care Pymble Ladies' College</t>
        </is>
      </c>
      <c r="C274" t="inlineStr">
        <is>
          <t>PYMBLE</t>
        </is>
      </c>
      <c r="D274" t="inlineStr">
        <is>
          <t>2073</t>
        </is>
      </c>
      <c r="E274" t="n">
        <v>160</v>
      </c>
      <c r="F274" t="inlineStr">
        <is>
          <t>Meeting NQS</t>
        </is>
      </c>
      <c r="G274" t="inlineStr">
        <is>
          <t>No</t>
        </is>
      </c>
      <c r="H274" t="inlineStr">
        <is>
          <t>No</t>
        </is>
      </c>
      <c r="I274" t="inlineStr">
        <is>
          <t>No</t>
        </is>
      </c>
      <c r="J274" t="inlineStr">
        <is>
          <t>Yes</t>
        </is>
      </c>
      <c r="K274">
        <f>IFERROR(VLOOKUP(UPPER(C274),Suburb_LGA_Map!$A:$B,2,FALSE),"")</f>
        <v/>
      </c>
    </row>
    <row r="275">
      <c r="A275" t="inlineStr">
        <is>
          <t>SE-40026542</t>
        </is>
      </c>
      <c r="B275" t="inlineStr">
        <is>
          <t>CommunityOSH Lindfield Prep K-6</t>
        </is>
      </c>
      <c r="C275" t="inlineStr">
        <is>
          <t>LINDFIELD</t>
        </is>
      </c>
      <c r="D275" t="inlineStr">
        <is>
          <t>2070</t>
        </is>
      </c>
      <c r="E275" t="n">
        <v>30</v>
      </c>
      <c r="F275" t="inlineStr">
        <is>
          <t>Meeting NQS</t>
        </is>
      </c>
      <c r="G275" t="inlineStr">
        <is>
          <t>No</t>
        </is>
      </c>
      <c r="H275" t="inlineStr">
        <is>
          <t>No</t>
        </is>
      </c>
      <c r="I275" t="inlineStr">
        <is>
          <t>No</t>
        </is>
      </c>
      <c r="J275" t="inlineStr">
        <is>
          <t>Yes</t>
        </is>
      </c>
      <c r="K275">
        <f>IFERROR(VLOOKUP(UPPER(C275),Suburb_LGA_Map!$A:$B,2,FALSE),"")</f>
        <v/>
      </c>
    </row>
    <row r="276">
      <c r="A276" t="inlineStr">
        <is>
          <t>SE-40026768</t>
        </is>
      </c>
      <c r="B276" t="inlineStr">
        <is>
          <t>Camp Australia - Banksmeadow Public School OSHC</t>
        </is>
      </c>
      <c r="C276" t="inlineStr">
        <is>
          <t>BOTANY</t>
        </is>
      </c>
      <c r="D276" t="inlineStr">
        <is>
          <t>2019</t>
        </is>
      </c>
      <c r="E276" t="n">
        <v>43</v>
      </c>
      <c r="F276" t="inlineStr">
        <is>
          <t>Meeting NQS</t>
        </is>
      </c>
      <c r="G276" t="inlineStr">
        <is>
          <t>No</t>
        </is>
      </c>
      <c r="H276" t="inlineStr">
        <is>
          <t>No</t>
        </is>
      </c>
      <c r="I276" t="inlineStr">
        <is>
          <t>No</t>
        </is>
      </c>
      <c r="J276" t="inlineStr">
        <is>
          <t>Yes</t>
        </is>
      </c>
      <c r="K276">
        <f>IFERROR(VLOOKUP(UPPER(C276),Suburb_LGA_Map!$A:$B,2,FALSE),"")</f>
        <v/>
      </c>
    </row>
    <row r="277">
      <c r="A277" t="inlineStr">
        <is>
          <t>SE-00007524</t>
        </is>
      </c>
      <c r="B277" t="inlineStr">
        <is>
          <t>Heritage House Turramurra Early Education Centre</t>
        </is>
      </c>
      <c r="C277" t="inlineStr">
        <is>
          <t>TURRAMURRA</t>
        </is>
      </c>
      <c r="D277" t="inlineStr">
        <is>
          <t>2074</t>
        </is>
      </c>
      <c r="E277" t="n">
        <v>35</v>
      </c>
      <c r="F277" t="inlineStr">
        <is>
          <t>Exceeding NQS</t>
        </is>
      </c>
      <c r="G277" t="inlineStr">
        <is>
          <t>Yes</t>
        </is>
      </c>
      <c r="H277" t="inlineStr">
        <is>
          <t>No</t>
        </is>
      </c>
      <c r="I277" t="inlineStr">
        <is>
          <t>No</t>
        </is>
      </c>
      <c r="J277" t="inlineStr">
        <is>
          <t>No</t>
        </is>
      </c>
      <c r="K277">
        <f>IFERROR(VLOOKUP(UPPER(C277),Suburb_LGA_Map!$A:$B,2,FALSE),"")</f>
        <v/>
      </c>
    </row>
    <row r="278">
      <c r="A278" t="inlineStr">
        <is>
          <t>SE-00007525</t>
        </is>
      </c>
      <c r="B278" t="inlineStr">
        <is>
          <t>Hibiscus Children's Centre</t>
        </is>
      </c>
      <c r="C278" t="inlineStr">
        <is>
          <t>DACEYVILLE</t>
        </is>
      </c>
      <c r="D278" t="inlineStr">
        <is>
          <t>2032</t>
        </is>
      </c>
      <c r="E278" t="n">
        <v>28</v>
      </c>
      <c r="F278" t="inlineStr">
        <is>
          <t>Meeting NQS</t>
        </is>
      </c>
      <c r="G278" t="inlineStr">
        <is>
          <t>No</t>
        </is>
      </c>
      <c r="H278" t="inlineStr">
        <is>
          <t>Yes</t>
        </is>
      </c>
      <c r="I278" t="inlineStr">
        <is>
          <t>No</t>
        </is>
      </c>
      <c r="J278" t="inlineStr">
        <is>
          <t>No</t>
        </is>
      </c>
      <c r="K278">
        <f>IFERROR(VLOOKUP(UPPER(C278),Suburb_LGA_Map!$A:$B,2,FALSE),"")</f>
        <v/>
      </c>
    </row>
    <row r="279">
      <c r="A279" t="inlineStr">
        <is>
          <t>SE-00007527</t>
        </is>
      </c>
      <c r="B279" t="inlineStr">
        <is>
          <t>Highfields Kindergarten</t>
        </is>
      </c>
      <c r="C279" t="inlineStr">
        <is>
          <t>LINDFIELD</t>
        </is>
      </c>
      <c r="D279" t="inlineStr">
        <is>
          <t>2070</t>
        </is>
      </c>
      <c r="E279" t="n">
        <v>60</v>
      </c>
      <c r="F279" t="inlineStr">
        <is>
          <t>Exceeding NQS</t>
        </is>
      </c>
      <c r="G279" t="inlineStr">
        <is>
          <t>No</t>
        </is>
      </c>
      <c r="H279" t="inlineStr">
        <is>
          <t>No</t>
        </is>
      </c>
      <c r="I279" t="inlineStr">
        <is>
          <t>Yes</t>
        </is>
      </c>
      <c r="J279" t="inlineStr">
        <is>
          <t>No</t>
        </is>
      </c>
      <c r="K279">
        <f>IFERROR(VLOOKUP(UPPER(C279),Suburb_LGA_Map!$A:$B,2,FALSE),"")</f>
        <v/>
      </c>
    </row>
    <row r="280">
      <c r="A280" t="inlineStr">
        <is>
          <t>SE-00007536</t>
        </is>
      </c>
      <c r="B280" t="inlineStr">
        <is>
          <t>Hillsdale Early Education and Care Centre</t>
        </is>
      </c>
      <c r="C280" t="inlineStr">
        <is>
          <t>HILLSDALE</t>
        </is>
      </c>
      <c r="D280" t="inlineStr">
        <is>
          <t>2036</t>
        </is>
      </c>
      <c r="E280" t="n">
        <v>64</v>
      </c>
      <c r="F280" t="inlineStr">
        <is>
          <t>Exceeding NQS</t>
        </is>
      </c>
      <c r="G280" t="inlineStr">
        <is>
          <t>Yes</t>
        </is>
      </c>
      <c r="H280" t="inlineStr">
        <is>
          <t>No</t>
        </is>
      </c>
      <c r="I280" t="inlineStr">
        <is>
          <t>No</t>
        </is>
      </c>
      <c r="J280" t="inlineStr">
        <is>
          <t>No</t>
        </is>
      </c>
      <c r="K280">
        <f>IFERROR(VLOOKUP(UPPER(C280),Suburb_LGA_Map!$A:$B,2,FALSE),"")</f>
        <v/>
      </c>
    </row>
    <row r="281">
      <c r="A281" t="inlineStr">
        <is>
          <t>SE-00007544</t>
        </is>
      </c>
      <c r="B281" t="inlineStr">
        <is>
          <t>Hippo's Friends Long Day Child Care Centre</t>
        </is>
      </c>
      <c r="C281" t="inlineStr">
        <is>
          <t>BOTANY</t>
        </is>
      </c>
      <c r="D281" t="inlineStr">
        <is>
          <t>2019</t>
        </is>
      </c>
      <c r="E281" t="n">
        <v>43</v>
      </c>
      <c r="F281" t="inlineStr">
        <is>
          <t>Meeting NQS</t>
        </is>
      </c>
      <c r="G281" t="inlineStr">
        <is>
          <t>Yes</t>
        </is>
      </c>
      <c r="H281" t="inlineStr">
        <is>
          <t>No</t>
        </is>
      </c>
      <c r="I281" t="inlineStr">
        <is>
          <t>No</t>
        </is>
      </c>
      <c r="J281" t="inlineStr">
        <is>
          <t>No</t>
        </is>
      </c>
      <c r="K281">
        <f>IFERROR(VLOOKUP(UPPER(C281),Suburb_LGA_Map!$A:$B,2,FALSE),"")</f>
        <v/>
      </c>
    </row>
    <row r="282">
      <c r="A282" t="inlineStr">
        <is>
          <t>SE-00007562</t>
        </is>
      </c>
      <c r="B282" t="inlineStr">
        <is>
          <t>Blossom Preschool</t>
        </is>
      </c>
      <c r="C282" t="inlineStr">
        <is>
          <t>SANS SOUCI</t>
        </is>
      </c>
      <c r="D282" t="inlineStr">
        <is>
          <t>2219</t>
        </is>
      </c>
      <c r="E282" t="n">
        <v>44</v>
      </c>
      <c r="F282" t="inlineStr">
        <is>
          <t>Meeting NQS</t>
        </is>
      </c>
      <c r="G282" t="inlineStr">
        <is>
          <t>Yes</t>
        </is>
      </c>
      <c r="H282" t="inlineStr">
        <is>
          <t>No</t>
        </is>
      </c>
      <c r="I282" t="inlineStr">
        <is>
          <t>No</t>
        </is>
      </c>
      <c r="J282" t="inlineStr">
        <is>
          <t>No</t>
        </is>
      </c>
      <c r="K282">
        <f>IFERROR(VLOOKUP(UPPER(C282),Suburb_LGA_Map!$A:$B,2,FALSE),"")</f>
        <v/>
      </c>
    </row>
    <row r="283">
      <c r="A283" t="inlineStr">
        <is>
          <t>SE-00012339</t>
        </is>
      </c>
      <c r="B283" t="inlineStr">
        <is>
          <t>North Sydney Community Centre</t>
        </is>
      </c>
      <c r="C283" t="inlineStr">
        <is>
          <t>NORTH SYDNEY</t>
        </is>
      </c>
      <c r="D283" t="inlineStr">
        <is>
          <t>2060</t>
        </is>
      </c>
      <c r="E283" t="n">
        <v>105</v>
      </c>
      <c r="F283" t="inlineStr">
        <is>
          <t>Meeting NQS</t>
        </is>
      </c>
      <c r="G283" t="inlineStr">
        <is>
          <t>No</t>
        </is>
      </c>
      <c r="H283" t="inlineStr">
        <is>
          <t>No</t>
        </is>
      </c>
      <c r="I283" t="inlineStr">
        <is>
          <t>No</t>
        </is>
      </c>
      <c r="J283" t="inlineStr">
        <is>
          <t>Yes</t>
        </is>
      </c>
      <c r="K283">
        <f>IFERROR(VLOOKUP(UPPER(C283),Suburb_LGA_Map!$A:$B,2,FALSE),"")</f>
        <v/>
      </c>
    </row>
    <row r="284">
      <c r="A284" t="inlineStr">
        <is>
          <t>SE-40018359</t>
        </is>
      </c>
      <c r="B284" t="inlineStr">
        <is>
          <t>ORCHARD EARLY LEARNING CENTRE ST IVES</t>
        </is>
      </c>
      <c r="C284" t="inlineStr">
        <is>
          <t>ST IVES</t>
        </is>
      </c>
      <c r="D284" t="inlineStr">
        <is>
          <t>2075</t>
        </is>
      </c>
      <c r="E284" t="n">
        <v>98</v>
      </c>
      <c r="F284" t="inlineStr">
        <is>
          <t>Meeting NQS</t>
        </is>
      </c>
      <c r="G284" t="inlineStr">
        <is>
          <t>Yes</t>
        </is>
      </c>
      <c r="H284" t="inlineStr">
        <is>
          <t>No</t>
        </is>
      </c>
      <c r="I284" t="inlineStr">
        <is>
          <t>No</t>
        </is>
      </c>
      <c r="J284" t="inlineStr">
        <is>
          <t>No</t>
        </is>
      </c>
      <c r="K284">
        <f>IFERROR(VLOOKUP(UPPER(C284),Suburb_LGA_Map!$A:$B,2,FALSE),"")</f>
        <v/>
      </c>
    </row>
    <row r="285">
      <c r="A285" t="inlineStr">
        <is>
          <t>SE-40018396</t>
        </is>
      </c>
      <c r="B285" t="inlineStr">
        <is>
          <t>Explore &amp; Develop Roseville</t>
        </is>
      </c>
      <c r="C285" t="inlineStr">
        <is>
          <t>ROSEVILLE</t>
        </is>
      </c>
      <c r="D285" t="inlineStr">
        <is>
          <t>2069</t>
        </is>
      </c>
      <c r="E285" t="n">
        <v>98</v>
      </c>
      <c r="F285" t="inlineStr">
        <is>
          <t>Meeting NQS</t>
        </is>
      </c>
      <c r="G285" t="inlineStr">
        <is>
          <t>Yes</t>
        </is>
      </c>
      <c r="H285" t="inlineStr">
        <is>
          <t>No</t>
        </is>
      </c>
      <c r="I285" t="inlineStr">
        <is>
          <t>No</t>
        </is>
      </c>
      <c r="J285" t="inlineStr">
        <is>
          <t>No</t>
        </is>
      </c>
      <c r="K285">
        <f>IFERROR(VLOOKUP(UPPER(C285),Suburb_LGA_Map!$A:$B,2,FALSE),"")</f>
        <v/>
      </c>
    </row>
    <row r="286">
      <c r="A286" t="inlineStr">
        <is>
          <t>SE-40018613</t>
        </is>
      </c>
      <c r="B286" t="inlineStr">
        <is>
          <t>Sunshine Kidz</t>
        </is>
      </c>
      <c r="C286" t="inlineStr">
        <is>
          <t>EASTLAKES</t>
        </is>
      </c>
      <c r="D286" t="inlineStr">
        <is>
          <t>2018</t>
        </is>
      </c>
      <c r="E286" t="n">
        <v>41</v>
      </c>
      <c r="F286" t="inlineStr">
        <is>
          <t>Meeting NQS</t>
        </is>
      </c>
      <c r="G286" t="inlineStr">
        <is>
          <t>No</t>
        </is>
      </c>
      <c r="H286" t="inlineStr">
        <is>
          <t>No</t>
        </is>
      </c>
      <c r="I286" t="inlineStr">
        <is>
          <t>No</t>
        </is>
      </c>
      <c r="J286" t="inlineStr">
        <is>
          <t>Yes</t>
        </is>
      </c>
      <c r="K286">
        <f>IFERROR(VLOOKUP(UPPER(C286),Suburb_LGA_Map!$A:$B,2,FALSE),"")</f>
        <v/>
      </c>
    </row>
    <row r="287">
      <c r="A287" t="inlineStr">
        <is>
          <t>SE-40018672</t>
        </is>
      </c>
      <c r="B287" t="inlineStr">
        <is>
          <t>The Grove Academy - Bexley</t>
        </is>
      </c>
      <c r="C287" t="inlineStr">
        <is>
          <t>BEXLEY</t>
        </is>
      </c>
      <c r="D287" t="inlineStr">
        <is>
          <t>2207</t>
        </is>
      </c>
      <c r="E287" t="n">
        <v>92</v>
      </c>
      <c r="F287" t="inlineStr">
        <is>
          <t>Meeting NQS</t>
        </is>
      </c>
      <c r="G287" t="inlineStr">
        <is>
          <t>Yes</t>
        </is>
      </c>
      <c r="H287" t="inlineStr">
        <is>
          <t>No</t>
        </is>
      </c>
      <c r="I287" t="inlineStr">
        <is>
          <t>No</t>
        </is>
      </c>
      <c r="J287" t="inlineStr">
        <is>
          <t>No</t>
        </is>
      </c>
      <c r="K287">
        <f>IFERROR(VLOOKUP(UPPER(C287),Suburb_LGA_Map!$A:$B,2,FALSE),"")</f>
        <v/>
      </c>
    </row>
    <row r="288">
      <c r="A288" t="inlineStr">
        <is>
          <t>SE-00008574</t>
        </is>
      </c>
      <c r="B288" t="inlineStr">
        <is>
          <t>North Brighton Community Preschool &amp; Kindergarten</t>
        </is>
      </c>
      <c r="C288" t="inlineStr">
        <is>
          <t>KYEEMAGH</t>
        </is>
      </c>
      <c r="D288" t="inlineStr">
        <is>
          <t>2216</t>
        </is>
      </c>
      <c r="E288" t="n">
        <v>41</v>
      </c>
      <c r="F288" t="inlineStr">
        <is>
          <t>Meeting NQS</t>
        </is>
      </c>
      <c r="G288" t="inlineStr">
        <is>
          <t>No</t>
        </is>
      </c>
      <c r="H288" t="inlineStr">
        <is>
          <t>Yes</t>
        </is>
      </c>
      <c r="I288" t="inlineStr">
        <is>
          <t>No</t>
        </is>
      </c>
      <c r="J288" t="inlineStr">
        <is>
          <t>No</t>
        </is>
      </c>
      <c r="K288">
        <f>IFERROR(VLOOKUP(UPPER(C288),Suburb_LGA_Map!$A:$B,2,FALSE),"")</f>
        <v/>
      </c>
    </row>
    <row r="289">
      <c r="A289" t="inlineStr">
        <is>
          <t>SE-00008587</t>
        </is>
      </c>
      <c r="B289" t="inlineStr">
        <is>
          <t>North Sydney Family Day Care Scheme</t>
        </is>
      </c>
      <c r="C289" t="inlineStr">
        <is>
          <t>NORTH SYDNEY</t>
        </is>
      </c>
      <c r="D289" t="inlineStr">
        <is>
          <t>2060</t>
        </is>
      </c>
      <c r="E289" t="inlineStr"/>
      <c r="F289" t="inlineStr">
        <is>
          <t>Meeting NQS</t>
        </is>
      </c>
      <c r="G289" t="inlineStr">
        <is>
          <t>No</t>
        </is>
      </c>
      <c r="H289" t="inlineStr">
        <is>
          <t>No</t>
        </is>
      </c>
      <c r="I289" t="inlineStr">
        <is>
          <t>No</t>
        </is>
      </c>
      <c r="J289" t="inlineStr">
        <is>
          <t>No</t>
        </is>
      </c>
      <c r="K289">
        <f>IFERROR(VLOOKUP(UPPER(C289),Suburb_LGA_Map!$A:$B,2,FALSE),"")</f>
        <v/>
      </c>
    </row>
    <row r="290">
      <c r="A290" t="inlineStr">
        <is>
          <t>SE-00008599</t>
        </is>
      </c>
      <c r="B290" t="inlineStr">
        <is>
          <t>Northside Montessori Preschool and OOSH</t>
        </is>
      </c>
      <c r="C290" t="inlineStr">
        <is>
          <t>PYMBLE</t>
        </is>
      </c>
      <c r="D290" t="inlineStr">
        <is>
          <t>2073</t>
        </is>
      </c>
      <c r="E290" t="n">
        <v>100</v>
      </c>
      <c r="F290" t="inlineStr">
        <is>
          <t>Meeting NQS</t>
        </is>
      </c>
      <c r="G290" t="inlineStr">
        <is>
          <t>No</t>
        </is>
      </c>
      <c r="H290" t="inlineStr">
        <is>
          <t>Yes</t>
        </is>
      </c>
      <c r="I290" t="inlineStr">
        <is>
          <t>Yes</t>
        </is>
      </c>
      <c r="J290" t="inlineStr">
        <is>
          <t>Yes</t>
        </is>
      </c>
      <c r="K290">
        <f>IFERROR(VLOOKUP(UPPER(C290),Suburb_LGA_Map!$A:$B,2,FALSE),"")</f>
        <v/>
      </c>
    </row>
    <row r="291">
      <c r="A291" t="inlineStr">
        <is>
          <t>SE-00008652</t>
        </is>
      </c>
      <c r="B291" t="inlineStr">
        <is>
          <t>Kiddie Cloud Early Learning Centre</t>
        </is>
      </c>
      <c r="C291" t="inlineStr">
        <is>
          <t>PAGEWOOD</t>
        </is>
      </c>
      <c r="D291" t="inlineStr">
        <is>
          <t>2035</t>
        </is>
      </c>
      <c r="E291" t="n">
        <v>27</v>
      </c>
      <c r="F291" t="inlineStr">
        <is>
          <t>Meeting NQS</t>
        </is>
      </c>
      <c r="G291" t="inlineStr">
        <is>
          <t>Yes</t>
        </is>
      </c>
      <c r="H291" t="inlineStr">
        <is>
          <t>No</t>
        </is>
      </c>
      <c r="I291" t="inlineStr">
        <is>
          <t>No</t>
        </is>
      </c>
      <c r="J291" t="inlineStr">
        <is>
          <t>Yes</t>
        </is>
      </c>
      <c r="K291">
        <f>IFERROR(VLOOKUP(UPPER(C291),Suburb_LGA_Map!$A:$B,2,FALSE),"")</f>
        <v/>
      </c>
    </row>
    <row r="292">
      <c r="A292" t="inlineStr">
        <is>
          <t>SE-40013955</t>
        </is>
      </c>
      <c r="B292" t="inlineStr">
        <is>
          <t>Simba Education St Ives</t>
        </is>
      </c>
      <c r="C292" t="inlineStr">
        <is>
          <t>ST IVES</t>
        </is>
      </c>
      <c r="D292" t="inlineStr">
        <is>
          <t>2075</t>
        </is>
      </c>
      <c r="E292" t="n">
        <v>96</v>
      </c>
      <c r="F292" t="inlineStr">
        <is>
          <t>Meeting NQS</t>
        </is>
      </c>
      <c r="G292" t="inlineStr">
        <is>
          <t>Yes</t>
        </is>
      </c>
      <c r="H292" t="inlineStr">
        <is>
          <t>No</t>
        </is>
      </c>
      <c r="I292" t="inlineStr">
        <is>
          <t>No</t>
        </is>
      </c>
      <c r="J292" t="inlineStr">
        <is>
          <t>No</t>
        </is>
      </c>
      <c r="K292">
        <f>IFERROR(VLOOKUP(UPPER(C292),Suburb_LGA_Map!$A:$B,2,FALSE),"")</f>
        <v/>
      </c>
    </row>
    <row r="293">
      <c r="A293" t="inlineStr">
        <is>
          <t>SE-40022609</t>
        </is>
      </c>
      <c r="B293" t="inlineStr">
        <is>
          <t>Arkie Wahroonga</t>
        </is>
      </c>
      <c r="C293" t="inlineStr">
        <is>
          <t>WAHROONGA</t>
        </is>
      </c>
      <c r="D293" t="inlineStr">
        <is>
          <t>2076</t>
        </is>
      </c>
      <c r="E293" t="n">
        <v>127</v>
      </c>
      <c r="F293" t="inlineStr">
        <is>
          <t>Meeting NQS</t>
        </is>
      </c>
      <c r="G293" t="inlineStr">
        <is>
          <t>Yes</t>
        </is>
      </c>
      <c r="H293" t="inlineStr">
        <is>
          <t>No</t>
        </is>
      </c>
      <c r="I293" t="inlineStr">
        <is>
          <t>No</t>
        </is>
      </c>
      <c r="J293" t="inlineStr">
        <is>
          <t>No</t>
        </is>
      </c>
      <c r="K293">
        <f>IFERROR(VLOOKUP(UPPER(C293),Suburb_LGA_Map!$A:$B,2,FALSE),"")</f>
        <v/>
      </c>
    </row>
    <row r="294">
      <c r="A294" t="inlineStr">
        <is>
          <t>SE-40022857</t>
        </is>
      </c>
      <c r="B294" t="inlineStr">
        <is>
          <t>Bright Blooms Early Learning Centre</t>
        </is>
      </c>
      <c r="C294" t="inlineStr">
        <is>
          <t>ST LEONARDS</t>
        </is>
      </c>
      <c r="D294" t="inlineStr">
        <is>
          <t>2065</t>
        </is>
      </c>
      <c r="E294" t="n">
        <v>100</v>
      </c>
      <c r="F294" t="inlineStr">
        <is>
          <t>Meeting NQS</t>
        </is>
      </c>
      <c r="G294" t="inlineStr">
        <is>
          <t>Yes</t>
        </is>
      </c>
      <c r="H294" t="inlineStr">
        <is>
          <t>No</t>
        </is>
      </c>
      <c r="I294" t="inlineStr">
        <is>
          <t>No</t>
        </is>
      </c>
      <c r="J294" t="inlineStr">
        <is>
          <t>No</t>
        </is>
      </c>
      <c r="K294">
        <f>IFERROR(VLOOKUP(UPPER(C294),Suburb_LGA_Map!$A:$B,2,FALSE),"")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2026-10-29T06:31:52Z</dcterms:created>
  <dcterms:modified xmlns:dcterms="http://purl.org/dc/terms/" xmlns:xsi="http://www.w3.org/2001/XMLSchema-instance" xsi:type="dcterms:W3CDTF">2026-10-29T07:01:23Z</dcterms:modified>
</cp:coreProperties>
</file>