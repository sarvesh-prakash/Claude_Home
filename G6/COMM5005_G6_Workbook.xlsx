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Indicators" sheetId="3" state="visible" r:id="rId3"/>
    <sheet xmlns:r="http://schemas.openxmlformats.org/officeDocument/2006/relationships" name="Costs" sheetId="4" state="visible" r:id="rId4"/>
    <sheet xmlns:r="http://schemas.openxmlformats.org/officeDocument/2006/relationships" name="Scoring" sheetId="5" state="visible" r:id="rId5"/>
    <sheet xmlns:r="http://schemas.openxmlformats.org/officeDocument/2006/relationships" name="Summary" sheetId="6" state="visible" r:id="rId6"/>
    <sheet xmlns:r="http://schemas.openxmlformats.org/officeDocument/2006/relationships" name="Suburb_LGA_Map" sheetId="7" state="visible" r:id="rId7"/>
    <sheet xmlns:r="http://schemas.openxmlformats.org/officeDocument/2006/relationships" name="ACECQA_Services" sheetId="8" state="visible" r:id="rId8"/>
    <sheet xmlns:r="http://schemas.openxmlformats.org/officeDocument/2006/relationships" name="Competi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hh:mm"/>
    <numFmt numFmtId="166" formatCode="0.0"/>
    <numFmt numFmtId="167" formatCode="0.0%"/>
    <numFmt numFmtId="168" formatCode="yyyy-mm-dd h:mm:ss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3" borderId="0" pivotButton="0" quotePrefix="0" xfId="0"/>
    <xf numFmtId="0" fontId="0" fillId="2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Centres per 1,000 children aged 0-4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'Summary'!$C$1:$E$1</f>
            </numRef>
          </cat>
          <val>
            <numRef>
              <f>'Summary'!$C$5:$E$5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COMM5005 T3 2026 - Group G6 - Childtime Australia location study</t>
        </is>
      </c>
    </row>
    <row r="2">
      <c r="A2" t="inlineStr">
        <is>
          <t>LGAs: Ku-ring-gai, Bayside, North Sydney (verify boundaries on ABS Census map; 2021 LGA geography)</t>
        </is>
      </c>
    </row>
    <row r="3">
      <c r="A3" t="inlineStr">
        <is>
          <t>Yellow cells = inputs to fill from sources (no data has been entered yet). White cells = formulas.</t>
        </is>
      </c>
    </row>
    <row r="4">
      <c r="A4" t="inlineStr">
        <is>
          <t>Sheets: Data (inputs + sources) &gt; Indicators (normalised measures) &gt; Costs (staffing/site) &gt; Scoring (weighted) &gt; Summary (report table + charts)</t>
        </is>
      </c>
    </row>
    <row r="5">
      <c r="A5" t="inlineStr">
        <is>
          <t>Record source, reference year and access date for every input in the Data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18" customWidth="1" min="3" max="3"/>
    <col width="18" customWidth="1" min="4" max="4"/>
    <col width="18" customWidth="1" min="5" max="5"/>
    <col width="45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Indicator</t>
        </is>
      </c>
      <c r="B1" s="2" t="inlineStr">
        <is>
          <t>Unit</t>
        </is>
      </c>
      <c r="C1" s="2" t="inlineStr">
        <is>
          <t>Ku-ring-gai</t>
        </is>
      </c>
      <c r="D1" s="2" t="inlineStr">
        <is>
          <t>Bayside</t>
        </is>
      </c>
      <c r="E1" s="2" t="inlineStr">
        <is>
          <t>North Sydney</t>
        </is>
      </c>
      <c r="F1" s="2" t="inlineStr">
        <is>
          <t>Source</t>
        </is>
      </c>
      <c r="G1" s="2" t="inlineStr">
        <is>
          <t>Reference year</t>
        </is>
      </c>
      <c r="H1" s="2" t="inlineStr">
        <is>
          <t>Date accessed</t>
        </is>
      </c>
      <c r="I1" s="2" t="inlineStr">
        <is>
          <t>Notes / proxy</t>
        </is>
      </c>
    </row>
    <row r="2">
      <c r="A2" t="inlineStr">
        <is>
          <t>Total population</t>
        </is>
      </c>
      <c r="B2" t="inlineStr">
        <is>
          <t>persons</t>
        </is>
      </c>
      <c r="C2" t="n">
        <v>124076</v>
      </c>
      <c r="D2" t="n">
        <v>175184</v>
      </c>
      <c r="E2" t="n">
        <v>68950</v>
      </c>
      <c r="F2" t="inlineStr">
        <is>
          <t>ABS 2021 Census General Community Profile (LGA file, uploaded); table G01</t>
        </is>
      </c>
      <c r="G2" t="inlineStr">
        <is>
          <t>2021</t>
        </is>
      </c>
    </row>
    <row r="3">
      <c r="A3" t="inlineStr">
        <is>
          <t>Children aged 0-4</t>
        </is>
      </c>
      <c r="B3" t="inlineStr">
        <is>
          <t>persons</t>
        </is>
      </c>
      <c r="C3" t="n">
        <v>5602</v>
      </c>
      <c r="D3" t="n">
        <v>9986</v>
      </c>
      <c r="E3" t="n">
        <v>3435</v>
      </c>
      <c r="F3" t="inlineStr">
        <is>
          <t>ABS 2021 Census General Community Profile (LGA file, uploaded); table G01</t>
        </is>
      </c>
      <c r="G3" t="inlineStr">
        <is>
          <t>2021</t>
        </is>
      </c>
    </row>
    <row r="4">
      <c r="A4" t="inlineStr">
        <is>
          <t>Children aged 0-4 as share check</t>
        </is>
      </c>
      <c r="B4" t="inlineStr">
        <is>
          <t>persons</t>
        </is>
      </c>
      <c r="C4" s="3" t="n"/>
      <c r="D4" s="3" t="n"/>
      <c r="E4" s="3" t="n"/>
      <c r="F4" t="inlineStr">
        <is>
          <t>(formula in Indicators)</t>
        </is>
      </c>
    </row>
    <row r="5">
      <c r="A5" t="inlineStr">
        <is>
          <t>Families with children under 5 / couple families with children</t>
        </is>
      </c>
      <c r="B5" t="inlineStr">
        <is>
          <t>families</t>
        </is>
      </c>
      <c r="C5" s="3" t="n"/>
      <c r="D5" s="3" t="n"/>
      <c r="E5" s="3" t="n"/>
      <c r="F5" t="inlineStr">
        <is>
          <t>ABS Census 2021 (G25/G29)</t>
        </is>
      </c>
      <c r="G5" t="inlineStr">
        <is>
          <t>2021</t>
        </is>
      </c>
    </row>
    <row r="6">
      <c r="A6" t="inlineStr">
        <is>
          <t>Median weekly household income</t>
        </is>
      </c>
      <c r="B6" t="inlineStr">
        <is>
          <t>$/week</t>
        </is>
      </c>
      <c r="C6" t="n">
        <v>3038</v>
      </c>
      <c r="D6" t="n">
        <v>1959</v>
      </c>
      <c r="E6" t="n">
        <v>2524</v>
      </c>
      <c r="F6" t="inlineStr">
        <is>
          <t>ABS 2021 Census General Community Profile (LGA file, uploaded); table G02</t>
        </is>
      </c>
      <c r="G6" t="inlineStr">
        <is>
          <t>2021</t>
        </is>
      </c>
    </row>
    <row r="7">
      <c r="A7" t="inlineStr">
        <is>
          <t>Median weekly family income</t>
        </is>
      </c>
      <c r="B7" t="inlineStr">
        <is>
          <t>$/week</t>
        </is>
      </c>
      <c r="C7" s="3" t="n"/>
      <c r="D7" s="3" t="n"/>
      <c r="E7" s="3" t="n"/>
      <c r="F7" t="inlineStr">
        <is>
          <t>ABS Census 2021 (G02)</t>
        </is>
      </c>
      <c r="G7" t="inlineStr">
        <is>
          <t>2021</t>
        </is>
      </c>
    </row>
    <row r="8">
      <c r="A8" t="inlineStr">
        <is>
          <t>Employment rate (labour force employed / aged 15+)</t>
        </is>
      </c>
      <c r="B8" t="inlineStr">
        <is>
          <t>%</t>
        </is>
      </c>
      <c r="C8" s="3" t="n"/>
      <c r="D8" s="3" t="n"/>
      <c r="E8" s="3" t="n"/>
      <c r="F8" t="inlineStr">
        <is>
          <t>ABS Census 2021 (G43)</t>
        </is>
      </c>
      <c r="G8" t="inlineStr">
        <is>
          <t>2021</t>
        </is>
      </c>
    </row>
    <row r="9">
      <c r="A9" t="inlineStr">
        <is>
          <t>Female labour force participation</t>
        </is>
      </c>
      <c r="B9" t="inlineStr">
        <is>
          <t>%</t>
        </is>
      </c>
      <c r="C9" s="3" t="n"/>
      <c r="D9" s="3" t="n"/>
      <c r="E9" s="3" t="n"/>
      <c r="F9" t="inlineStr">
        <is>
          <t>ABS Census 2021 (G43)</t>
        </is>
      </c>
      <c r="G9" t="inlineStr">
        <is>
          <t>2021</t>
        </is>
      </c>
    </row>
    <row r="10">
      <c r="A10" t="inlineStr">
        <is>
          <t>Bachelor degree or above (15+)</t>
        </is>
      </c>
      <c r="B10" t="inlineStr">
        <is>
          <t>%</t>
        </is>
      </c>
      <c r="C10" s="3" t="n"/>
      <c r="D10" s="3" t="n"/>
      <c r="E10" s="3" t="n"/>
      <c r="F10" t="inlineStr">
        <is>
          <t>ABS Census 2021 (G46)</t>
        </is>
      </c>
      <c r="G10" t="inlineStr">
        <is>
          <t>2021</t>
        </is>
      </c>
    </row>
    <row r="11">
      <c r="A11" t="inlineStr">
        <is>
          <t>Approved childcare centres (centre-based day care) in LGA</t>
        </is>
      </c>
      <c r="B11" t="inlineStr">
        <is>
          <t>count</t>
        </is>
      </c>
      <c r="C11">
        <f>Competition!C2</f>
        <v/>
      </c>
      <c r="D11">
        <f>Competition!D2</f>
        <v/>
      </c>
      <c r="E11">
        <f>Competition!E2</f>
        <v/>
      </c>
      <c r="F11" t="inlineStr">
        <is>
          <t>ACECQA National Register (Education services NSW export, provided by Sarvesh); Long Day Care = Yes</t>
        </is>
      </c>
      <c r="G11" t="inlineStr">
        <is>
          <t>2026</t>
        </is>
      </c>
      <c r="H11" t="inlineStr">
        <is>
          <t>2026 (export date - add)</t>
        </is>
      </c>
      <c r="I11" t="inlineStr">
        <is>
          <t>Suburb-to-LGA mapping approximate; split suburbs (e.g. Wahroonga, St Leonards, Crows Nest, Kingsgrove, Sans Souci, Rosebery) overstate/understate</t>
        </is>
      </c>
    </row>
    <row r="12">
      <c r="A12" t="inlineStr">
        <is>
          <t>Approved centre-based places (if available)</t>
        </is>
      </c>
      <c r="B12" t="inlineStr">
        <is>
          <t>places</t>
        </is>
      </c>
      <c r="C12">
        <f>Competition!C3</f>
        <v/>
      </c>
      <c r="D12">
        <f>Competition!D3</f>
        <v/>
      </c>
      <c r="E12">
        <f>Competition!E3</f>
        <v/>
      </c>
      <c r="F12" t="inlineStr">
        <is>
          <t>ACECQA National Register (Education services NSW export, provided by Sarvesh); Long Day Care = Yes</t>
        </is>
      </c>
      <c r="G12" t="inlineStr">
        <is>
          <t>2026</t>
        </is>
      </c>
      <c r="H12" t="inlineStr">
        <is>
          <t>2026 (export date - add)</t>
        </is>
      </c>
      <c r="I12" t="inlineStr">
        <is>
          <t>Suburb-to-LGA mapping approximate; split suburbs (e.g. Wahroonga, St Leonards, Crows Nest, Kingsgrove, Sans Souci, Rosebery) overstate/understate</t>
        </is>
      </c>
    </row>
    <row r="13">
      <c r="A13" t="inlineStr">
        <is>
          <t>Land/lease price proxy: median rent for commercial/childcare site</t>
        </is>
      </c>
      <c r="B13" t="inlineStr">
        <is>
          <t>$/m2/yr</t>
        </is>
      </c>
      <c r="C13" s="3" t="n"/>
      <c r="D13" s="3" t="n"/>
      <c r="E13" s="3" t="n"/>
      <c r="F13" t="inlineStr">
        <is>
          <t>Realcommercial / CoStar / Valuer-General; document proxy</t>
        </is>
      </c>
      <c r="G13" t="inlineStr">
        <is>
          <t>2026</t>
        </is>
      </c>
    </row>
    <row r="14">
      <c r="A14" t="inlineStr">
        <is>
          <t>Land value proxy ($/m2, ~1,500 m2 site)</t>
        </is>
      </c>
      <c r="B14" t="inlineStr">
        <is>
          <t>$/m2</t>
        </is>
      </c>
      <c r="C14" s="3" t="n"/>
      <c r="D14" s="3" t="n"/>
      <c r="E14" s="3" t="n"/>
      <c r="F14" t="inlineStr">
        <is>
          <t>NSW Valuer General land values</t>
        </is>
      </c>
      <c r="G14" t="inlineStr">
        <is>
          <t>2026</t>
        </is>
      </c>
    </row>
    <row r="15">
      <c r="A15" t="inlineStr">
        <is>
          <t>Median weekly rent (residential, cost proxy)</t>
        </is>
      </c>
      <c r="B15" t="inlineStr">
        <is>
          <t>$/week</t>
        </is>
      </c>
      <c r="C15" t="n">
        <v>630</v>
      </c>
      <c r="D15" t="n">
        <v>500</v>
      </c>
      <c r="E15" t="n">
        <v>580</v>
      </c>
      <c r="F15" t="inlineStr">
        <is>
          <t>ABS 2021 Census General Community Profile (LGA file, uploaded); table G02 (median weekly rent)</t>
        </is>
      </c>
      <c r="G15" t="inlineStr">
        <is>
          <t>2021</t>
        </is>
      </c>
    </row>
    <row r="16">
      <c r="A16" t="inlineStr">
        <is>
          <t>Peak-hour drive time to LGA centre (accessibility)</t>
        </is>
      </c>
      <c r="B16" t="inlineStr">
        <is>
          <t>minutes</t>
        </is>
      </c>
      <c r="C16" s="3" t="n"/>
      <c r="D16" s="3" t="n"/>
      <c r="E16" s="3" t="n"/>
      <c r="F16" t="inlineStr">
        <is>
          <t>Google Maps / TfNSW</t>
        </is>
      </c>
      <c r="G16" t="inlineStr">
        <is>
          <t>2026</t>
        </is>
      </c>
    </row>
    <row r="17">
      <c r="A17" t="inlineStr">
        <is>
          <t>Public transport access (stations in LGA)</t>
        </is>
      </c>
      <c r="B17" t="inlineStr">
        <is>
          <t>count</t>
        </is>
      </c>
      <c r="C17" s="3" t="n"/>
      <c r="D17" s="3" t="n"/>
      <c r="E17" s="3" t="n"/>
      <c r="F17" t="inlineStr">
        <is>
          <t>TfNSW</t>
        </is>
      </c>
      <c r="G17" t="inlineStr">
        <is>
          <t>2026</t>
        </is>
      </c>
    </row>
    <row r="18">
      <c r="A18" t="inlineStr">
        <is>
          <t>Area of LGA</t>
        </is>
      </c>
      <c r="B18" t="inlineStr">
        <is>
          <t>km2</t>
        </is>
      </c>
      <c r="C18" t="n">
        <v>85.40000000000001</v>
      </c>
      <c r="D18" t="n">
        <v>50.6</v>
      </c>
      <c r="E18" t="n">
        <v>10.5</v>
      </c>
      <c r="F18" t="inlineStr">
        <is>
          <t>ABS 2021 Census General Community Profile (LGA file, uploaded); table G01 header (sq km)</t>
        </is>
      </c>
      <c r="G18" t="inlineStr">
        <is>
          <t>2021</t>
        </is>
      </c>
    </row>
    <row r="19">
      <c r="A19" t="inlineStr">
        <is>
          <t>Wage benchmark adjustment vs base</t>
        </is>
      </c>
      <c r="B19" t="inlineStr">
        <is>
          <t>%</t>
        </is>
      </c>
      <c r="C19" s="3" t="n"/>
      <c r="D19" s="3" t="n"/>
      <c r="E19" s="3" t="n"/>
      <c r="F19" t="inlineStr">
        <is>
          <t>Assumption - justify</t>
        </is>
      </c>
      <c r="G19" t="inlineStr">
        <is>
          <t>2026</t>
        </is>
      </c>
    </row>
    <row r="21">
      <c r="A21" s="4" t="inlineStr">
        <is>
          <t>Staffing wage assumptions (annual, $)</t>
        </is>
      </c>
    </row>
    <row r="22">
      <c r="A22" t="inlineStr">
        <is>
          <t>Role</t>
        </is>
      </c>
      <c r="B22" t="inlineStr">
        <is>
          <t>Headcount</t>
        </is>
      </c>
      <c r="C22" t="inlineStr">
        <is>
          <t>Annual salary ($) - base</t>
        </is>
      </c>
      <c r="D22" t="inlineStr">
        <is>
          <t>On-cost rate (super/leave etc.)</t>
        </is>
      </c>
    </row>
    <row r="23">
      <c r="A23" t="inlineStr">
        <is>
          <t>Director</t>
        </is>
      </c>
      <c r="B23" t="n">
        <v>1</v>
      </c>
      <c r="C23" s="3" t="n"/>
      <c r="D23" s="3" t="n">
        <v>0.15</v>
      </c>
    </row>
    <row r="24">
      <c r="A24" t="inlineStr">
        <is>
          <t>Child activity coordinator (teacher)</t>
        </is>
      </c>
      <c r="B24" t="n">
        <v>10</v>
      </c>
      <c r="C24" s="3" t="n"/>
      <c r="D24" s="3" t="n">
        <v>0.15</v>
      </c>
    </row>
    <row r="25">
      <c r="A25" t="inlineStr">
        <is>
          <t>Chef</t>
        </is>
      </c>
      <c r="B25" t="n">
        <v>1</v>
      </c>
      <c r="C25" s="3" t="n"/>
      <c r="D25" s="3" t="n">
        <v>0.15</v>
      </c>
    </row>
    <row r="26">
      <c r="A26" t="inlineStr">
        <is>
          <t>Cleaner</t>
        </is>
      </c>
      <c r="B26" t="n">
        <v>1</v>
      </c>
      <c r="C26" s="3" t="n"/>
      <c r="D26" s="3" t="n">
        <v>0.15</v>
      </c>
    </row>
    <row r="27">
      <c r="A27" t="inlineStr">
        <is>
          <t>Facilities maintenance</t>
        </is>
      </c>
      <c r="B27" t="n">
        <v>1</v>
      </c>
      <c r="C27" s="3" t="n"/>
      <c r="D27" s="3" t="n">
        <v>0.15</v>
      </c>
    </row>
    <row r="28">
      <c r="A28" s="4" t="inlineStr">
        <is>
          <t>Accessibility inputs (Census 2021)</t>
        </is>
      </c>
    </row>
    <row r="29">
      <c r="A29" s="4" t="inlineStr">
        <is>
          <t>LDC share rated Meeting or Exceeding NQS</t>
        </is>
      </c>
      <c r="C29">
        <f>Competition!C10+Competition!C11</f>
        <v/>
      </c>
      <c r="D29">
        <f>Competition!D10+Competition!D11</f>
        <v/>
      </c>
      <c r="E29">
        <f>Competition!E10+Competition!E11</f>
        <v/>
      </c>
    </row>
    <row r="30">
      <c r="A30" t="inlineStr">
        <is>
          <t>Occupied private dwellings with a vehicle count (G34 total)</t>
        </is>
      </c>
      <c r="B30" t="inlineStr">
        <is>
          <t>count</t>
        </is>
      </c>
      <c r="C30" t="n">
        <v>41561</v>
      </c>
      <c r="D30" t="n">
        <v>63711</v>
      </c>
      <c r="E30" t="n">
        <v>32093</v>
      </c>
      <c r="F30" t="inlineStr">
        <is>
          <t>ABS 2021 Census General Community Profile (LGA file, uploaded); table G34</t>
        </is>
      </c>
      <c r="G30" t="inlineStr">
        <is>
          <t>2021</t>
        </is>
      </c>
    </row>
    <row r="31">
      <c r="A31" t="inlineStr">
        <is>
          <t>Dwellings with no motor vehicle</t>
        </is>
      </c>
      <c r="B31" t="inlineStr">
        <is>
          <t>count</t>
        </is>
      </c>
      <c r="C31" t="n">
        <v>1806</v>
      </c>
      <c r="D31" t="n">
        <v>9392</v>
      </c>
      <c r="E31" t="n">
        <v>6081</v>
      </c>
      <c r="F31" t="inlineStr">
        <is>
          <t>ABS 2021 Census General Community Profile (LGA file, uploaded); table G34</t>
        </is>
      </c>
      <c r="G31" t="inlineStr">
        <is>
          <t>2021</t>
        </is>
      </c>
    </row>
    <row r="32">
      <c r="A32" t="inlineStr">
        <is>
          <t>Employed persons (travel-to-work total)</t>
        </is>
      </c>
      <c r="B32" t="inlineStr">
        <is>
          <t>count</t>
        </is>
      </c>
      <c r="C32" t="n">
        <v>58583</v>
      </c>
      <c r="D32" t="n">
        <v>85131</v>
      </c>
      <c r="E32" t="n">
        <v>41183</v>
      </c>
      <c r="F32" t="inlineStr">
        <is>
          <t>ABS 2021 Census General Community Profile (LGA file, uploaded); table G62</t>
        </is>
      </c>
      <c r="G32" t="inlineStr">
        <is>
          <t>2021</t>
        </is>
      </c>
    </row>
    <row r="33">
      <c r="A33" t="inlineStr">
        <is>
          <t>Travelled by train (one method)</t>
        </is>
      </c>
      <c r="B33" t="inlineStr">
        <is>
          <t>count</t>
        </is>
      </c>
      <c r="C33" t="n">
        <v>1368</v>
      </c>
      <c r="D33" t="n">
        <v>4807</v>
      </c>
      <c r="E33" t="n">
        <v>909</v>
      </c>
      <c r="F33" t="inlineStr">
        <is>
          <t>ABS 2021 Census General Community Profile (LGA file, uploaded); table G62</t>
        </is>
      </c>
      <c r="G33" t="inlineStr">
        <is>
          <t>2021</t>
        </is>
      </c>
    </row>
    <row r="34">
      <c r="A34" t="inlineStr">
        <is>
          <t>Travelled by bus (one method)</t>
        </is>
      </c>
      <c r="B34" t="inlineStr">
        <is>
          <t>count</t>
        </is>
      </c>
      <c r="C34" t="n">
        <v>205</v>
      </c>
      <c r="D34" t="n">
        <v>1522</v>
      </c>
      <c r="E34" t="n">
        <v>933</v>
      </c>
      <c r="F34" t="inlineStr">
        <is>
          <t>ABS 2021 Census General Community Profile (LGA file, uploaded); table G62</t>
        </is>
      </c>
      <c r="G34" t="inlineStr">
        <is>
          <t>2021</t>
        </is>
      </c>
    </row>
    <row r="35">
      <c r="A35" t="inlineStr">
        <is>
          <t>Car as driver (one method)</t>
        </is>
      </c>
      <c r="B35" t="inlineStr">
        <is>
          <t>count</t>
        </is>
      </c>
      <c r="C35" t="n">
        <v>14880</v>
      </c>
      <c r="D35" t="n">
        <v>28586</v>
      </c>
      <c r="E35" t="n">
        <v>6613</v>
      </c>
      <c r="F35" t="inlineStr">
        <is>
          <t>ABS 2021 Census General Community Profile (LGA file, uploaded); table G62</t>
        </is>
      </c>
      <c r="G35" t="inlineStr">
        <is>
          <t>2021</t>
        </is>
      </c>
    </row>
    <row r="36">
      <c r="A36" t="inlineStr">
        <is>
          <t>Worked at home on Census day</t>
        </is>
      </c>
      <c r="B36" t="inlineStr">
        <is>
          <t>count</t>
        </is>
      </c>
      <c r="C36" t="n">
        <v>32127</v>
      </c>
      <c r="D36" t="n">
        <v>28934</v>
      </c>
      <c r="E36" t="n">
        <v>25071</v>
      </c>
      <c r="F36" t="inlineStr">
        <is>
          <t>ABS 2021 Census General Community Profile (LGA file, uploaded); table G62</t>
        </is>
      </c>
      <c r="G36" t="inlineStr">
        <is>
          <t>2021</t>
        </is>
      </c>
    </row>
    <row r="37">
      <c r="A37" t="inlineStr">
        <is>
          <t>Share of dwellings with no car</t>
        </is>
      </c>
      <c r="B37" t="inlineStr">
        <is>
          <t>%</t>
        </is>
      </c>
      <c r="C37">
        <f>C31/C30</f>
        <v/>
      </c>
      <c r="D37">
        <f>D31/D30</f>
        <v/>
      </c>
      <c r="E37">
        <f>E31/E30</f>
        <v/>
      </c>
    </row>
    <row r="38">
      <c r="A38" t="inlineStr">
        <is>
          <t>Train share of employed persons</t>
        </is>
      </c>
      <c r="B38" t="inlineStr">
        <is>
          <t>%</t>
        </is>
      </c>
      <c r="C38">
        <f>C33/C32</f>
        <v/>
      </c>
      <c r="D38">
        <f>D33/D32</f>
        <v/>
      </c>
      <c r="E38">
        <f>E33/E32</f>
        <v/>
      </c>
    </row>
    <row r="39">
      <c r="A39" t="inlineStr">
        <is>
          <t>Worked-at-home share (caveat: Census taken during 2021 lockdown)</t>
        </is>
      </c>
      <c r="B39" t="inlineStr">
        <is>
          <t>%</t>
        </is>
      </c>
      <c r="C39">
        <f>C36/C32</f>
        <v/>
      </c>
      <c r="D39">
        <f>D36/D32</f>
        <v/>
      </c>
      <c r="E39">
        <f>E36/E32</f>
        <v/>
      </c>
      <c r="I39" t="inlineStr">
        <is>
          <t>Census night 10 Aug 2021 fell in NSW lockdown: travel-to-work likely understates commuting and overstates working at home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48" customWidth="1" min="1" max="1"/>
    <col width="70" customWidth="1" min="2" max="2"/>
  </cols>
  <sheetData>
    <row r="1">
      <c r="A1" s="2" t="inlineStr">
        <is>
          <t>Normalised indicator</t>
        </is>
      </c>
      <c r="B1" s="2" t="inlineStr">
        <is>
          <t>Definition / denominator rationale</t>
        </is>
      </c>
      <c r="C1" s="2" t="inlineStr">
        <is>
          <t>Ku-ring-gai</t>
        </is>
      </c>
      <c r="D1" s="2" t="inlineStr">
        <is>
          <t>Bayside</t>
        </is>
      </c>
      <c r="E1" s="2" t="inlineStr">
        <is>
          <t>North Sydney</t>
        </is>
      </c>
    </row>
    <row r="2">
      <c r="A2" t="inlineStr">
        <is>
          <t>Children 0-4 per 100 residents</t>
        </is>
      </c>
      <c r="B2" t="inlineStr">
        <is>
          <t>Age-structure intensity; removes population size effect</t>
        </is>
      </c>
      <c r="C2">
        <f>Data!C3/Data!C2*100</f>
        <v/>
      </c>
      <c r="D2">
        <f>Data!D3/Data!D2*100</f>
        <v/>
      </c>
      <c r="E2">
        <f>Data!E3/Data!E2*100</f>
        <v/>
      </c>
    </row>
    <row r="3">
      <c r="A3" t="inlineStr">
        <is>
          <t>Children 0-4 per km2</t>
        </is>
      </c>
      <c r="B3" t="inlineStr">
        <is>
          <t>Catchment density (driving catchment)</t>
        </is>
      </c>
      <c r="C3">
        <f>Data!C3/Data!C18</f>
        <v/>
      </c>
      <c r="D3">
        <f>Data!D3/Data!D18</f>
        <v/>
      </c>
      <c r="E3">
        <f>Data!E3/Data!E18</f>
        <v/>
      </c>
    </row>
    <row r="4">
      <c r="A4" t="inlineStr">
        <is>
          <t>Centres per 1,000 children 0-4</t>
        </is>
      </c>
      <c r="B4" t="inlineStr">
        <is>
          <t>Supply proxy (not places/occupancy) - lower = less competition</t>
        </is>
      </c>
      <c r="C4">
        <f>Data!C11/Data!C3*1000</f>
        <v/>
      </c>
      <c r="D4">
        <f>Data!D11/Data!D3*1000</f>
        <v/>
      </c>
      <c r="E4">
        <f>Data!E11/Data!E3*1000</f>
        <v/>
      </c>
    </row>
    <row r="5">
      <c r="A5" t="inlineStr">
        <is>
          <t>Children 0-4 per centre</t>
        </is>
      </c>
      <c r="B5" t="inlineStr">
        <is>
          <t>Potential demand per competitor</t>
        </is>
      </c>
      <c r="C5">
        <f>Data!C3/Data!C11</f>
        <v/>
      </c>
      <c r="D5">
        <f>Data!D3/Data!D11</f>
        <v/>
      </c>
      <c r="E5">
        <f>Data!E3/Data!E11</f>
        <v/>
      </c>
    </row>
    <row r="6">
      <c r="A6" t="inlineStr">
        <is>
          <t>Places per child 0-4</t>
        </is>
      </c>
      <c r="B6" t="inlineStr">
        <is>
          <t>Supply coverage if places data available</t>
        </is>
      </c>
      <c r="C6">
        <f>IFERROR(Data!C12/Data!C3,"n/a")</f>
        <v/>
      </c>
      <c r="D6">
        <f>IFERROR(Data!D12/Data!D3,"n/a")</f>
        <v/>
      </c>
      <c r="E6">
        <f>IFERROR(Data!E12/Data!E3,"n/a")</f>
        <v/>
      </c>
    </row>
    <row r="7">
      <c r="A7" t="inlineStr">
        <is>
          <t>Income / affordability index (HH income, Ku-ring-gai=100)</t>
        </is>
      </c>
      <c r="B7" t="inlineStr">
        <is>
          <t>Ability to pay; indicator only, not demand</t>
        </is>
      </c>
      <c r="C7">
        <f>Data!C6/Data!$C$6*100</f>
        <v/>
      </c>
      <c r="D7">
        <f>Data!D6/Data!$C$6*100</f>
        <v/>
      </c>
      <c r="E7">
        <f>Data!E6/Data!$C$6*100</f>
        <v/>
      </c>
    </row>
    <row r="8">
      <c r="A8" t="inlineStr">
        <is>
          <t>Land value index (Ku-ring-gai=100)</t>
        </is>
      </c>
      <c r="B8" t="inlineStr">
        <is>
          <t>Relative site cost proxy</t>
        </is>
      </c>
      <c r="C8">
        <f>IFERROR(Data!C14/Data!$C$14*100,"")</f>
        <v/>
      </c>
      <c r="D8">
        <f>IFERROR(Data!D14/Data!$C$14*100,"")</f>
        <v/>
      </c>
      <c r="E8">
        <f>IFERROR(Data!E14/Data!$C$14*100,"")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2" t="inlineStr">
        <is>
          <t>Annual staffing cost</t>
        </is>
      </c>
      <c r="B1" s="2" t="inlineStr">
        <is>
          <t>Formula</t>
        </is>
      </c>
      <c r="C1" s="2" t="inlineStr">
        <is>
          <t>Ku-ring-gai</t>
        </is>
      </c>
      <c r="D1" s="2" t="inlineStr">
        <is>
          <t>Bayside</t>
        </is>
      </c>
      <c r="E1" s="2" t="inlineStr">
        <is>
          <t>North Sydney</t>
        </is>
      </c>
    </row>
    <row r="2">
      <c r="A2" t="inlineStr">
        <is>
          <t>Base staffing cost ($/yr)</t>
        </is>
      </c>
      <c r="B2" t="inlineStr">
        <is>
          <t>SUMPRODUCT(headcount x salary x (1+on-cost))</t>
        </is>
      </c>
      <c r="C2">
        <f>SUMPRODUCT(Data!$B$23:$B$27,Data!$C$23:$C$27*(1+Data!$D$23:$D$27))</f>
        <v/>
      </c>
      <c r="D2">
        <f>SUMPRODUCT(Data!$B$23:$B$27,Data!$C$23:$C$27*(1+Data!$D$23:$D$27))</f>
        <v/>
      </c>
      <c r="E2">
        <f>SUMPRODUCT(Data!$B$23:$B$27,Data!$C$23:$C$27*(1+Data!$D$23:$D$27))</f>
        <v/>
      </c>
    </row>
    <row r="3">
      <c r="A3" t="inlineStr">
        <is>
          <t>Location wage adjustment</t>
        </is>
      </c>
      <c r="B3" t="inlineStr">
        <is>
          <t>from Data row 19</t>
        </is>
      </c>
      <c r="C3">
        <f>Data!C19</f>
        <v/>
      </c>
      <c r="D3">
        <f>Data!D19</f>
        <v/>
      </c>
      <c r="E3">
        <f>Data!E19</f>
        <v/>
      </c>
    </row>
    <row r="4">
      <c r="A4" t="inlineStr">
        <is>
          <t>Adjusted staffing cost ($/yr)</t>
        </is>
      </c>
      <c r="B4" t="inlineStr">
        <is>
          <t>base x (1+adj)</t>
        </is>
      </c>
      <c r="C4">
        <f>C2*(1+C3)</f>
        <v/>
      </c>
      <c r="D4">
        <f>D2*(1+D3)</f>
        <v/>
      </c>
      <c r="E4">
        <f>E2*(1+E3)</f>
        <v/>
      </c>
    </row>
    <row r="5">
      <c r="A5" t="inlineStr">
        <is>
          <t>Site area required (m2)</t>
        </is>
      </c>
      <c r="B5" t="inlineStr">
        <is>
          <t>Rooms 300+kitchen 50+office 40+storage 30+playgrounds 600+car park 400 = 1,420; min site 1,500</t>
        </is>
      </c>
      <c r="C5" t="n">
        <v>1500</v>
      </c>
      <c r="D5" t="n">
        <v>1500</v>
      </c>
      <c r="E5" t="n">
        <v>1500</v>
      </c>
    </row>
    <row r="6">
      <c r="A6" t="inlineStr">
        <is>
          <t>Site cost proxy ($)</t>
        </is>
      </c>
      <c r="B6" t="inlineStr">
        <is>
          <t>land $/m2 x 1,500</t>
        </is>
      </c>
      <c r="C6">
        <f>Data!C14*C5</f>
        <v/>
      </c>
      <c r="D6">
        <f>Data!D14*D5</f>
        <v/>
      </c>
      <c r="E6">
        <f>Data!E14*E5</f>
        <v/>
      </c>
    </row>
    <row r="7">
      <c r="A7" t="inlineStr">
        <is>
          <t>Annual cost per child 0-4 in LGA ($)</t>
        </is>
      </c>
      <c r="B7" t="inlineStr">
        <is>
          <t>adjusted staffing / children 0-4 (scale indicator)</t>
        </is>
      </c>
      <c r="C7">
        <f>C4/Data!C3</f>
        <v/>
      </c>
      <c r="D7">
        <f>D4/Data!D3</f>
        <v/>
      </c>
      <c r="E7">
        <f>E4/Data!E3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3" max="3"/>
  </cols>
  <sheetData>
    <row r="1">
      <c r="A1" s="2" t="inlineStr">
        <is>
          <t>Criterion</t>
        </is>
      </c>
      <c r="B1" s="2" t="inlineStr">
        <is>
          <t>Weight (assumption)</t>
        </is>
      </c>
      <c r="C1" s="2" t="inlineStr">
        <is>
          <t>Direction (+1 higher better, -1 lower better)</t>
        </is>
      </c>
      <c r="D1" s="2" t="inlineStr">
        <is>
          <t>Ku-ring-gai</t>
        </is>
      </c>
      <c r="E1" s="2" t="inlineStr">
        <is>
          <t>Bayside</t>
        </is>
      </c>
      <c r="F1" s="2" t="inlineStr">
        <is>
          <t>North Sydney</t>
        </is>
      </c>
    </row>
    <row r="2">
      <c r="A2" t="inlineStr">
        <is>
          <t>Children 0-4 per km2 (density)</t>
        </is>
      </c>
      <c r="B2" t="n">
        <v>0.2</v>
      </c>
      <c r="C2" t="n">
        <v>1</v>
      </c>
      <c r="D2">
        <f>IFERROR(IF($C2=1,(Indicators!C3-MIN(Indicators!C3:E3))/(MAX(Indicators!C3:E3)-MIN(Indicators!C3:E3)),(MAX(Indicators!C3:E3)-Indicators!C3)/(MAX(Indicators!C3:E3)-MIN(Indicators!C3:E3))),"")</f>
        <v/>
      </c>
      <c r="E2">
        <f>IFERROR(IF($C2=1,(Indicators!D3-MIN(Indicators!C3:E3))/(MAX(Indicators!C3:E3)-MIN(Indicators!C3:E3)),(MAX(Indicators!C3:E3)-Indicators!D3)/(MAX(Indicators!C3:E3)-MIN(Indicators!C3:E3))),"")</f>
        <v/>
      </c>
      <c r="F2">
        <f>IFERROR(IF($C2=1,(Indicators!E3-MIN(Indicators!C3:E3))/(MAX(Indicators!C3:E3)-MIN(Indicators!C3:E3)),(MAX(Indicators!C3:E3)-Indicators!E3)/(MAX(Indicators!C3:E3)-MIN(Indicators!C3:E3))),"")</f>
        <v/>
      </c>
    </row>
    <row r="3">
      <c r="A3" t="inlineStr">
        <is>
          <t>Children per centre (low competition)</t>
        </is>
      </c>
      <c r="B3" t="n">
        <v>0.2</v>
      </c>
      <c r="C3" t="n">
        <v>1</v>
      </c>
      <c r="D3">
        <f>IFERROR(IF($C3=1,(Indicators!C5-MIN(Indicators!C5:E5))/(MAX(Indicators!C5:E5)-MIN(Indicators!C5:E5)),(MAX(Indicators!C5:E5)-Indicators!C5)/(MAX(Indicators!C5:E5)-MIN(Indicators!C5:E5))),"")</f>
        <v/>
      </c>
      <c r="E3">
        <f>IFERROR(IF($C3=1,(Indicators!D5-MIN(Indicators!C5:E5))/(MAX(Indicators!C5:E5)-MIN(Indicators!C5:E5)),(MAX(Indicators!C5:E5)-Indicators!D5)/(MAX(Indicators!C5:E5)-MIN(Indicators!C5:E5))),"")</f>
        <v/>
      </c>
      <c r="F3">
        <f>IFERROR(IF($C3=1,(Indicators!E5-MIN(Indicators!C5:E5))/(MAX(Indicators!C5:E5)-MIN(Indicators!C5:E5)),(MAX(Indicators!C5:E5)-Indicators!E5)/(MAX(Indicators!C5:E5)-MIN(Indicators!C5:E5))),"")</f>
        <v/>
      </c>
    </row>
    <row r="4">
      <c r="A4" t="inlineStr">
        <is>
          <t>Household income</t>
        </is>
      </c>
      <c r="B4" t="n">
        <v>0.15</v>
      </c>
      <c r="C4" t="n">
        <v>1</v>
      </c>
      <c r="D4">
        <f>IFERROR(IF($C4=1,(Data!C6-MIN(Data!C6:E6))/(MAX(Data!C6:E6)-MIN(Data!C6:E6)),(MAX(Data!C6:E6)-Data!C6)/(MAX(Data!C6:E6)-MIN(Data!C6:E6))),"")</f>
        <v/>
      </c>
      <c r="E4">
        <f>IFERROR(IF($C4=1,(Data!D6-MIN(Data!C6:E6))/(MAX(Data!C6:E6)-MIN(Data!C6:E6)),(MAX(Data!C6:E6)-Data!D6)/(MAX(Data!C6:E6)-MIN(Data!C6:E6))),"")</f>
        <v/>
      </c>
      <c r="F4">
        <f>IFERROR(IF($C4=1,(Data!E6-MIN(Data!C6:E6))/(MAX(Data!C6:E6)-MIN(Data!C6:E6)),(MAX(Data!C6:E6)-Data!E6)/(MAX(Data!C6:E6)-MIN(Data!C6:E6))),"")</f>
        <v/>
      </c>
    </row>
    <row r="5">
      <c r="A5" t="inlineStr">
        <is>
          <t>Land value proxy</t>
        </is>
      </c>
      <c r="B5" t="n">
        <v>0.2</v>
      </c>
      <c r="C5" t="n">
        <v>-1</v>
      </c>
      <c r="D5">
        <f>IFERROR(IF($C5=1,(Data!C14-MIN(Data!C14:E14))/(MAX(Data!C14:E14)-MIN(Data!C14:E14)),(MAX(Data!C14:E14)-Data!C14)/(MAX(Data!C14:E14)-MIN(Data!C14:E14))),"")</f>
        <v/>
      </c>
      <c r="E5">
        <f>IFERROR(IF($C5=1,(Data!D14-MIN(Data!C14:E14))/(MAX(Data!C14:E14)-MIN(Data!C14:E14)),(MAX(Data!C14:E14)-Data!D14)/(MAX(Data!C14:E14)-MIN(Data!C14:E14))),"")</f>
        <v/>
      </c>
      <c r="F5">
        <f>IFERROR(IF($C5=1,(Data!E14-MIN(Data!C14:E14))/(MAX(Data!C14:E14)-MIN(Data!C14:E14)),(MAX(Data!C14:E14)-Data!E14)/(MAX(Data!C14:E14)-MIN(Data!C14:E14))),"")</f>
        <v/>
      </c>
    </row>
    <row r="6">
      <c r="A6" t="inlineStr">
        <is>
          <t>Peak-hour accessibility (minutes)</t>
        </is>
      </c>
      <c r="B6" t="n">
        <v>0.15</v>
      </c>
      <c r="C6" t="n">
        <v>-1</v>
      </c>
      <c r="D6">
        <f>IFERROR(IF($C6=1,(Data!C16-MIN(Data!C16:E16))/(MAX(Data!C16:E16)-MIN(Data!C16:E16)),(MAX(Data!C16:E16)-Data!C16)/(MAX(Data!C16:E16)-MIN(Data!C16:E16))),"")</f>
        <v/>
      </c>
      <c r="E6">
        <f>IFERROR(IF($C6=1,(Data!D16-MIN(Data!C16:E16))/(MAX(Data!C16:E16)-MIN(Data!C16:E16)),(MAX(Data!C16:E16)-Data!D16)/(MAX(Data!C16:E16)-MIN(Data!C16:E16))),"")</f>
        <v/>
      </c>
      <c r="F6">
        <f>IFERROR(IF($C6=1,(Data!E16-MIN(Data!C16:E16))/(MAX(Data!C16:E16)-MIN(Data!C16:E16)),(MAX(Data!C16:E16)-Data!E16)/(MAX(Data!C16:E16)-MIN(Data!C16:E16))),"")</f>
        <v/>
      </c>
    </row>
    <row r="7">
      <c r="A7" t="inlineStr">
        <is>
          <t>Children 0-4 (market size)</t>
        </is>
      </c>
      <c r="B7" t="n">
        <v>0.1</v>
      </c>
      <c r="C7" t="n">
        <v>1</v>
      </c>
      <c r="D7">
        <f>IFERROR(IF($C7=1,(Data!C3-MIN(Data!C3:E3))/(MAX(Data!C3:E3)-MIN(Data!C3:E3)),(MAX(Data!C3:E3)-Data!C3)/(MAX(Data!C3:E3)-MIN(Data!C3:E3))),"")</f>
        <v/>
      </c>
      <c r="E7">
        <f>IFERROR(IF($C7=1,(Data!D3-MIN(Data!C3:E3))/(MAX(Data!C3:E3)-MIN(Data!C3:E3)),(MAX(Data!C3:E3)-Data!D3)/(MAX(Data!C3:E3)-MIN(Data!C3:E3))),"")</f>
        <v/>
      </c>
      <c r="F7">
        <f>IFERROR(IF($C7=1,(Data!E3-MIN(Data!C3:E3))/(MAX(Data!C3:E3)-MIN(Data!C3:E3)),(MAX(Data!C3:E3)-Data!E3)/(MAX(Data!C3:E3)-MIN(Data!C3:E3))),"")</f>
        <v/>
      </c>
    </row>
    <row r="8">
      <c r="A8" t="inlineStr">
        <is>
          <t>Weighted score (0-1)</t>
        </is>
      </c>
      <c r="B8">
        <f>SUM(B2:B7)</f>
        <v/>
      </c>
      <c r="D8">
        <f>SUMPRODUCT($B$2:$B$7,D2:D7)</f>
        <v/>
      </c>
      <c r="E8">
        <f>SUMPRODUCT($B$2:$B$7,E2:E7)</f>
        <v/>
      </c>
      <c r="F8">
        <f>SUMPRODUCT($B$2:$B$7,F2:F7)</f>
        <v/>
      </c>
    </row>
    <row r="9">
      <c r="A9" t="inlineStr">
        <is>
          <t>Rank</t>
        </is>
      </c>
      <c r="D9">
        <f>RANK(D8,$D$8:$F$8)</f>
        <v/>
      </c>
      <c r="E9">
        <f>RANK(E8,$D$8:$F$8)</f>
        <v/>
      </c>
      <c r="F9">
        <f>RANK(F8,$D$8:$F$8)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2" customWidth="1" min="1" max="1"/>
  </cols>
  <sheetData>
    <row r="1">
      <c r="A1" s="2" t="inlineStr">
        <is>
          <t>Indicator</t>
        </is>
      </c>
      <c r="B1" s="2" t="inlineStr">
        <is>
          <t>Unit</t>
        </is>
      </c>
      <c r="C1" s="2" t="inlineStr">
        <is>
          <t>Ku-ring-gai</t>
        </is>
      </c>
      <c r="D1" s="2" t="inlineStr">
        <is>
          <t>Bayside</t>
        </is>
      </c>
      <c r="E1" s="2" t="inlineStr">
        <is>
          <t>North Sydney</t>
        </is>
      </c>
    </row>
    <row r="2">
      <c r="A2" t="inlineStr">
        <is>
          <t>Population</t>
        </is>
      </c>
      <c r="B2" t="inlineStr">
        <is>
          <t>persons</t>
        </is>
      </c>
      <c r="C2">
        <f>Data!C2</f>
        <v/>
      </c>
      <c r="D2">
        <f>Data!D2</f>
        <v/>
      </c>
      <c r="E2">
        <f>Data!E2</f>
        <v/>
      </c>
    </row>
    <row r="3">
      <c r="A3" t="inlineStr">
        <is>
          <t>Children 0-4</t>
        </is>
      </c>
      <c r="B3" t="inlineStr">
        <is>
          <t>persons</t>
        </is>
      </c>
      <c r="C3">
        <f>Data!C3</f>
        <v/>
      </c>
      <c r="D3">
        <f>Data!D3</f>
        <v/>
      </c>
      <c r="E3">
        <f>Data!E3</f>
        <v/>
      </c>
    </row>
    <row r="4">
      <c r="A4" t="inlineStr">
        <is>
          <t>Median HH income</t>
        </is>
      </c>
      <c r="B4" t="inlineStr">
        <is>
          <t>$/wk</t>
        </is>
      </c>
      <c r="C4">
        <f>Data!C6</f>
        <v/>
      </c>
      <c r="D4">
        <f>Data!D6</f>
        <v/>
      </c>
      <c r="E4">
        <f>Data!E6</f>
        <v/>
      </c>
    </row>
    <row r="5">
      <c r="A5" t="inlineStr">
        <is>
          <t>Centres per 1,000 children</t>
        </is>
      </c>
      <c r="B5" t="inlineStr">
        <is>
          <t>ratio</t>
        </is>
      </c>
      <c r="C5">
        <f>Indicators!C4</f>
        <v/>
      </c>
      <c r="D5">
        <f>Indicators!D4</f>
        <v/>
      </c>
      <c r="E5">
        <f>Indicators!E4</f>
        <v/>
      </c>
    </row>
    <row r="6">
      <c r="A6" t="inlineStr">
        <is>
          <t>Children per km2</t>
        </is>
      </c>
      <c r="B6" t="inlineStr">
        <is>
          <t>ratio</t>
        </is>
      </c>
      <c r="C6">
        <f>Indicators!C3</f>
        <v/>
      </c>
      <c r="D6">
        <f>Indicators!D3</f>
        <v/>
      </c>
      <c r="E6">
        <f>Indicators!E3</f>
        <v/>
      </c>
    </row>
    <row r="7">
      <c r="A7" t="inlineStr">
        <is>
          <t>Land value ($/m2)</t>
        </is>
      </c>
      <c r="B7" t="inlineStr">
        <is>
          <t>$/m2</t>
        </is>
      </c>
      <c r="C7">
        <f>Data!C14</f>
        <v/>
      </c>
      <c r="D7">
        <f>Data!D14</f>
        <v/>
      </c>
      <c r="E7">
        <f>Data!E14</f>
        <v/>
      </c>
    </row>
    <row r="8">
      <c r="A8" t="inlineStr">
        <is>
          <t>Adj. staffing cost</t>
        </is>
      </c>
      <c r="B8" t="inlineStr">
        <is>
          <t>$/yr</t>
        </is>
      </c>
      <c r="C8">
        <f>Costs!C4</f>
        <v/>
      </c>
      <c r="D8">
        <f>Costs!D4</f>
        <v/>
      </c>
      <c r="E8">
        <f>Costs!E4</f>
        <v/>
      </c>
    </row>
    <row r="9">
      <c r="A9" t="inlineStr">
        <is>
          <t>Weighted score</t>
        </is>
      </c>
      <c r="B9" t="inlineStr">
        <is>
          <t>0-1</t>
        </is>
      </c>
      <c r="C9">
        <f>Scoring!D8</f>
        <v/>
      </c>
      <c r="D9">
        <f>Scoring!E8</f>
        <v/>
      </c>
      <c r="E9">
        <f>Scoring!F8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Suburb</t>
        </is>
      </c>
      <c r="B1" t="inlineStr">
        <is>
          <t>LGA (approximate - VERIFY vs ABS/NSW Geographical Names; split suburbs flagged in README)</t>
        </is>
      </c>
    </row>
    <row r="2">
      <c r="A2" t="inlineStr">
        <is>
          <t>GORDON</t>
        </is>
      </c>
      <c r="B2" t="inlineStr">
        <is>
          <t>Ku-ring-gai</t>
        </is>
      </c>
    </row>
    <row r="3">
      <c r="A3" t="inlineStr">
        <is>
          <t>KILLARA</t>
        </is>
      </c>
      <c r="B3" t="inlineStr">
        <is>
          <t>Ku-ring-gai</t>
        </is>
      </c>
    </row>
    <row r="4">
      <c r="A4" t="inlineStr">
        <is>
          <t>LINDFIELD</t>
        </is>
      </c>
      <c r="B4" t="inlineStr">
        <is>
          <t>Ku-ring-gai</t>
        </is>
      </c>
    </row>
    <row r="5">
      <c r="A5" t="inlineStr">
        <is>
          <t>EAST LINDFIELD</t>
        </is>
      </c>
      <c r="B5" t="inlineStr">
        <is>
          <t>Ku-ring-gai</t>
        </is>
      </c>
    </row>
    <row r="6">
      <c r="A6" t="inlineStr">
        <is>
          <t>PYMBLE</t>
        </is>
      </c>
      <c r="B6" t="inlineStr">
        <is>
          <t>Ku-ring-gai</t>
        </is>
      </c>
    </row>
    <row r="7">
      <c r="A7" t="inlineStr">
        <is>
          <t>TURRAMURRA</t>
        </is>
      </c>
      <c r="B7" t="inlineStr">
        <is>
          <t>Ku-ring-gai</t>
        </is>
      </c>
    </row>
    <row r="8">
      <c r="A8" t="inlineStr">
        <is>
          <t>WAHROONGA</t>
        </is>
      </c>
      <c r="B8" t="inlineStr">
        <is>
          <t>Ku-ring-gai</t>
        </is>
      </c>
    </row>
    <row r="9">
      <c r="A9" t="inlineStr">
        <is>
          <t>WARRAWEE</t>
        </is>
      </c>
      <c r="B9" t="inlineStr">
        <is>
          <t>Ku-ring-gai</t>
        </is>
      </c>
    </row>
    <row r="10">
      <c r="A10" t="inlineStr">
        <is>
          <t>ST IVES</t>
        </is>
      </c>
      <c r="B10" t="inlineStr">
        <is>
          <t>Ku-ring-gai</t>
        </is>
      </c>
    </row>
    <row r="11">
      <c r="A11" t="inlineStr">
        <is>
          <t>ST IVES CHASE</t>
        </is>
      </c>
      <c r="B11" t="inlineStr">
        <is>
          <t>Ku-ring-gai</t>
        </is>
      </c>
    </row>
    <row r="12">
      <c r="A12" t="inlineStr">
        <is>
          <t>ROSEVILLE</t>
        </is>
      </c>
      <c r="B12" t="inlineStr">
        <is>
          <t>Ku-ring-gai</t>
        </is>
      </c>
    </row>
    <row r="13">
      <c r="A13" t="inlineStr">
        <is>
          <t>ROSEVILLE CHASE</t>
        </is>
      </c>
      <c r="B13" t="inlineStr">
        <is>
          <t>Ku-ring-gai</t>
        </is>
      </c>
    </row>
    <row r="14">
      <c r="A14" t="inlineStr">
        <is>
          <t>EAST KILLARA</t>
        </is>
      </c>
      <c r="B14" t="inlineStr">
        <is>
          <t>Ku-ring-gai</t>
        </is>
      </c>
    </row>
    <row r="15">
      <c r="A15" t="inlineStr">
        <is>
          <t>NORTH TURRAMURRA</t>
        </is>
      </c>
      <c r="B15" t="inlineStr">
        <is>
          <t>Ku-ring-gai</t>
        </is>
      </c>
    </row>
    <row r="16">
      <c r="A16" t="inlineStr">
        <is>
          <t>SOUTH TURRAMURRA</t>
        </is>
      </c>
      <c r="B16" t="inlineStr">
        <is>
          <t>Ku-ring-gai</t>
        </is>
      </c>
    </row>
    <row r="17">
      <c r="A17" t="inlineStr">
        <is>
          <t>WEST PYMBLE</t>
        </is>
      </c>
      <c r="B17" t="inlineStr">
        <is>
          <t>Ku-ring-gai</t>
        </is>
      </c>
    </row>
    <row r="18">
      <c r="A18" t="inlineStr">
        <is>
          <t>ARNCLIFFE</t>
        </is>
      </c>
      <c r="B18" t="inlineStr">
        <is>
          <t>Bayside</t>
        </is>
      </c>
    </row>
    <row r="19">
      <c r="A19" t="inlineStr">
        <is>
          <t>BANKSIA</t>
        </is>
      </c>
      <c r="B19" t="inlineStr">
        <is>
          <t>Bayside</t>
        </is>
      </c>
    </row>
    <row r="20">
      <c r="A20" t="inlineStr">
        <is>
          <t>BARDWELL PARK</t>
        </is>
      </c>
      <c r="B20" t="inlineStr">
        <is>
          <t>Bayside</t>
        </is>
      </c>
    </row>
    <row r="21">
      <c r="A21" t="inlineStr">
        <is>
          <t>BARDWELL VALLEY</t>
        </is>
      </c>
      <c r="B21" t="inlineStr">
        <is>
          <t>Bayside</t>
        </is>
      </c>
    </row>
    <row r="22">
      <c r="A22" t="inlineStr">
        <is>
          <t>BEXLEY</t>
        </is>
      </c>
      <c r="B22" t="inlineStr">
        <is>
          <t>Bayside</t>
        </is>
      </c>
    </row>
    <row r="23">
      <c r="A23" t="inlineStr">
        <is>
          <t>BEXLEY NORTH</t>
        </is>
      </c>
      <c r="B23" t="inlineStr">
        <is>
          <t>Bayside</t>
        </is>
      </c>
    </row>
    <row r="24">
      <c r="A24" t="inlineStr">
        <is>
          <t>BOTANY</t>
        </is>
      </c>
      <c r="B24" t="inlineStr">
        <is>
          <t>Bayside</t>
        </is>
      </c>
    </row>
    <row r="25">
      <c r="A25" t="inlineStr">
        <is>
          <t>BRIGHTON-LE-SANDS</t>
        </is>
      </c>
      <c r="B25" t="inlineStr">
        <is>
          <t>Bayside</t>
        </is>
      </c>
    </row>
    <row r="26">
      <c r="A26" t="inlineStr">
        <is>
          <t>DACEYVILLE</t>
        </is>
      </c>
      <c r="B26" t="inlineStr">
        <is>
          <t>Bayside</t>
        </is>
      </c>
    </row>
    <row r="27">
      <c r="A27" t="inlineStr">
        <is>
          <t>DOLLS POINT</t>
        </is>
      </c>
      <c r="B27" t="inlineStr">
        <is>
          <t>Bayside</t>
        </is>
      </c>
    </row>
    <row r="28">
      <c r="A28" t="inlineStr">
        <is>
          <t>EASTGARDENS</t>
        </is>
      </c>
      <c r="B28" t="inlineStr">
        <is>
          <t>Bayside</t>
        </is>
      </c>
    </row>
    <row r="29">
      <c r="A29" t="inlineStr">
        <is>
          <t>EASTLAKES</t>
        </is>
      </c>
      <c r="B29" t="inlineStr">
        <is>
          <t>Bayside</t>
        </is>
      </c>
    </row>
    <row r="30">
      <c r="A30" t="inlineStr">
        <is>
          <t>HILLSDALE</t>
        </is>
      </c>
      <c r="B30" t="inlineStr">
        <is>
          <t>Bayside</t>
        </is>
      </c>
    </row>
    <row r="31">
      <c r="A31" t="inlineStr">
        <is>
          <t>KINGSGROVE</t>
        </is>
      </c>
      <c r="B31" t="inlineStr">
        <is>
          <t>Bayside</t>
        </is>
      </c>
    </row>
    <row r="32">
      <c r="A32" t="inlineStr">
        <is>
          <t>KYEEMAGH</t>
        </is>
      </c>
      <c r="B32" t="inlineStr">
        <is>
          <t>Bayside</t>
        </is>
      </c>
    </row>
    <row r="33">
      <c r="A33" t="inlineStr">
        <is>
          <t>MASCOT</t>
        </is>
      </c>
      <c r="B33" t="inlineStr">
        <is>
          <t>Bayside</t>
        </is>
      </c>
    </row>
    <row r="34">
      <c r="A34" t="inlineStr">
        <is>
          <t>MONTEREY</t>
        </is>
      </c>
      <c r="B34" t="inlineStr">
        <is>
          <t>Bayside</t>
        </is>
      </c>
    </row>
    <row r="35">
      <c r="A35" t="inlineStr">
        <is>
          <t>PAGEWOOD</t>
        </is>
      </c>
      <c r="B35" t="inlineStr">
        <is>
          <t>Bayside</t>
        </is>
      </c>
    </row>
    <row r="36">
      <c r="A36" t="inlineStr">
        <is>
          <t>RAMSGATE</t>
        </is>
      </c>
      <c r="B36" t="inlineStr">
        <is>
          <t>Bayside</t>
        </is>
      </c>
    </row>
    <row r="37">
      <c r="A37" t="inlineStr">
        <is>
          <t>RAMSGATE BEACH</t>
        </is>
      </c>
      <c r="B37" t="inlineStr">
        <is>
          <t>Bayside</t>
        </is>
      </c>
    </row>
    <row r="38">
      <c r="A38" t="inlineStr">
        <is>
          <t>ROCKDALE</t>
        </is>
      </c>
      <c r="B38" t="inlineStr">
        <is>
          <t>Bayside</t>
        </is>
      </c>
    </row>
    <row r="39">
      <c r="A39" t="inlineStr">
        <is>
          <t>ROSEBERY</t>
        </is>
      </c>
      <c r="B39" t="inlineStr">
        <is>
          <t>Bayside</t>
        </is>
      </c>
    </row>
    <row r="40">
      <c r="A40" t="inlineStr">
        <is>
          <t>SANDRINGHAM</t>
        </is>
      </c>
      <c r="B40" t="inlineStr">
        <is>
          <t>Bayside</t>
        </is>
      </c>
    </row>
    <row r="41">
      <c r="A41" t="inlineStr">
        <is>
          <t>SANS SOUCI</t>
        </is>
      </c>
      <c r="B41" t="inlineStr">
        <is>
          <t>Bayside</t>
        </is>
      </c>
    </row>
    <row r="42">
      <c r="A42" t="inlineStr">
        <is>
          <t>TURRELLA</t>
        </is>
      </c>
      <c r="B42" t="inlineStr">
        <is>
          <t>Bayside</t>
        </is>
      </c>
    </row>
    <row r="43">
      <c r="A43" t="inlineStr">
        <is>
          <t>WOLLI CREEK</t>
        </is>
      </c>
      <c r="B43" t="inlineStr">
        <is>
          <t>Bayside</t>
        </is>
      </c>
    </row>
    <row r="44">
      <c r="A44" t="inlineStr">
        <is>
          <t>BANKSMEADOW</t>
        </is>
      </c>
      <c r="B44" t="inlineStr">
        <is>
          <t>Bayside</t>
        </is>
      </c>
    </row>
    <row r="45">
      <c r="A45" t="inlineStr">
        <is>
          <t>PORT BOTANY</t>
        </is>
      </c>
      <c r="B45" t="inlineStr">
        <is>
          <t>Bayside</t>
        </is>
      </c>
    </row>
    <row r="46">
      <c r="A46" t="inlineStr">
        <is>
          <t>LADY ROBINSONS BEACH</t>
        </is>
      </c>
      <c r="B46" t="inlineStr">
        <is>
          <t>Bayside</t>
        </is>
      </c>
    </row>
    <row r="47">
      <c r="A47" t="inlineStr">
        <is>
          <t>NORTH SYDNEY</t>
        </is>
      </c>
      <c r="B47" t="inlineStr">
        <is>
          <t>North Sydney</t>
        </is>
      </c>
    </row>
    <row r="48">
      <c r="A48" t="inlineStr">
        <is>
          <t>KIRRIBILLI</t>
        </is>
      </c>
      <c r="B48" t="inlineStr">
        <is>
          <t>North Sydney</t>
        </is>
      </c>
    </row>
    <row r="49">
      <c r="A49" t="inlineStr">
        <is>
          <t>MILSONS POINT</t>
        </is>
      </c>
      <c r="B49" t="inlineStr">
        <is>
          <t>North Sydney</t>
        </is>
      </c>
    </row>
    <row r="50">
      <c r="A50" t="inlineStr">
        <is>
          <t>LAVENDER BAY</t>
        </is>
      </c>
      <c r="B50" t="inlineStr">
        <is>
          <t>North Sydney</t>
        </is>
      </c>
    </row>
    <row r="51">
      <c r="A51" t="inlineStr">
        <is>
          <t>MCMAHONS POINT</t>
        </is>
      </c>
      <c r="B51" t="inlineStr">
        <is>
          <t>North Sydney</t>
        </is>
      </c>
    </row>
    <row r="52">
      <c r="A52" t="inlineStr">
        <is>
          <t>NEUTRAL BAY</t>
        </is>
      </c>
      <c r="B52" t="inlineStr">
        <is>
          <t>North Sydney</t>
        </is>
      </c>
    </row>
    <row r="53">
      <c r="A53" t="inlineStr">
        <is>
          <t>CREMORNE</t>
        </is>
      </c>
      <c r="B53" t="inlineStr">
        <is>
          <t>North Sydney</t>
        </is>
      </c>
    </row>
    <row r="54">
      <c r="A54" t="inlineStr">
        <is>
          <t>CREMORNE POINT</t>
        </is>
      </c>
      <c r="B54" t="inlineStr">
        <is>
          <t>North Sydney</t>
        </is>
      </c>
    </row>
    <row r="55">
      <c r="A55" t="inlineStr">
        <is>
          <t>CROWS NEST</t>
        </is>
      </c>
      <c r="B55" t="inlineStr">
        <is>
          <t>North Sydney</t>
        </is>
      </c>
    </row>
    <row r="56">
      <c r="A56" t="inlineStr">
        <is>
          <t>WAVERTON</t>
        </is>
      </c>
      <c r="B56" t="inlineStr">
        <is>
          <t>North Sydney</t>
        </is>
      </c>
    </row>
    <row r="57">
      <c r="A57" t="inlineStr">
        <is>
          <t>WOLLSTONECRAFT</t>
        </is>
      </c>
      <c r="B57" t="inlineStr">
        <is>
          <t>North Sydney</t>
        </is>
      </c>
    </row>
    <row r="58">
      <c r="A58" t="inlineStr">
        <is>
          <t>ST LEONARDS</t>
        </is>
      </c>
      <c r="B58" t="inlineStr">
        <is>
          <t>North Sydney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ServiceApprovalNumber</t>
        </is>
      </c>
      <c r="B1" t="inlineStr">
        <is>
          <t>ServiceName</t>
        </is>
      </c>
      <c r="C1" t="inlineStr">
        <is>
          <t>ProviderLegalName</t>
        </is>
      </c>
      <c r="D1" t="inlineStr">
        <is>
          <t>Suburb</t>
        </is>
      </c>
      <c r="E1" t="inlineStr">
        <is>
          <t>Postcode</t>
        </is>
      </c>
      <c r="F1" t="inlineStr">
        <is>
          <t>NumberOfApprovedPlaces</t>
        </is>
      </c>
      <c r="G1" t="inlineStr">
        <is>
          <t>OverallRating</t>
        </is>
      </c>
      <c r="H1" t="inlineStr">
        <is>
          <t>Long Day Care</t>
        </is>
      </c>
      <c r="I1" t="inlineStr">
        <is>
          <t>Preschool/Kindergarten - Stand alone</t>
        </is>
      </c>
      <c r="J1" t="inlineStr">
        <is>
          <t>Outside school Hours Care - After School</t>
        </is>
      </c>
      <c r="K1" t="inlineStr">
        <is>
          <t>ApprovalGranted</t>
        </is>
      </c>
      <c r="L1" t="inlineStr">
        <is>
          <t>MonStart</t>
        </is>
      </c>
      <c r="M1" t="inlineStr">
        <is>
          <t>MonEnd</t>
        </is>
      </c>
      <c r="N1" t="inlineStr">
        <is>
          <t>LGA (lookup)</t>
        </is>
      </c>
      <c r="O1" t="inlineStr">
        <is>
          <t>Include (1/0) - set 0 if outside LGA</t>
        </is>
      </c>
      <c r="P1" t="inlineStr">
        <is>
          <t>Opened since 2021 (1/0)</t>
        </is>
      </c>
      <c r="Q1" t="inlineStr">
        <is>
          <t>Opens before 7am</t>
        </is>
      </c>
      <c r="R1" t="inlineStr">
        <is>
          <t>Closes after 6pm</t>
        </is>
      </c>
      <c r="S1" t="inlineStr">
        <is>
          <t>First LDC row of provider in LGA</t>
        </is>
      </c>
      <c r="T1" t="inlineStr">
        <is>
          <t>Provider places in LGA (LDC)</t>
        </is>
      </c>
    </row>
    <row r="2">
      <c r="A2" t="inlineStr">
        <is>
          <t>SE-40019120</t>
        </is>
      </c>
      <c r="B2" t="inlineStr">
        <is>
          <t>Uniting Preschool Turramurra - Turratots</t>
        </is>
      </c>
      <c r="C2" t="inlineStr">
        <is>
          <t>The Uniting Church In Australia Property Trust (NSW)</t>
        </is>
      </c>
      <c r="D2" t="inlineStr">
        <is>
          <t>TURRAMURRA</t>
        </is>
      </c>
      <c r="E2" t="inlineStr">
        <is>
          <t>2074</t>
        </is>
      </c>
      <c r="F2" t="n">
        <v>36</v>
      </c>
      <c r="G2" t="inlineStr">
        <is>
          <t>Meeting NQS</t>
        </is>
      </c>
      <c r="H2" t="inlineStr">
        <is>
          <t>No</t>
        </is>
      </c>
      <c r="I2" t="inlineStr">
        <is>
          <t>Yes</t>
        </is>
      </c>
      <c r="J2" t="inlineStr">
        <is>
          <t>No</t>
        </is>
      </c>
      <c r="K2" s="9" t="n">
        <v>44595</v>
      </c>
      <c r="L2" s="10" t="n"/>
      <c r="M2" s="10" t="n"/>
      <c r="N2">
        <f>IFERROR(VLOOKUP(UPPER(D2),Suburb_LGA_Map!$A:$B,2,FALSE),"")</f>
        <v/>
      </c>
      <c r="O2" s="3" t="n">
        <v>1</v>
      </c>
      <c r="P2">
        <f>IF(K2="",0,IF(K2&gt;=DATE(2021,1,1),1,0))</f>
        <v/>
      </c>
      <c r="Q2">
        <f>IF(L2="",0,IF(L2&lt;TIME(7,0,0),1,0))</f>
        <v/>
      </c>
      <c r="R2">
        <f>IF(M2="",0,IF(M2&gt;TIME(18,0,0),1,0))</f>
        <v/>
      </c>
      <c r="S2">
        <f>IF(AND(H2="Yes",O2=1,COUNTIFS($C$2:C2,C2,$N$2:N2,N2,$H$2:H2,"Yes",$O$2:O2,1)=1),1,0)</f>
        <v/>
      </c>
      <c r="T2">
        <f>SUMIFS($F$2:$F$294,$C$2:$C$294,C2,$N$2:$N$294,N2,$H$2:$H$294,"Yes",$O$2:$O$294,1)</f>
        <v/>
      </c>
    </row>
    <row r="3">
      <c r="A3" t="inlineStr">
        <is>
          <t>SE-40027017</t>
        </is>
      </c>
      <c r="B3" t="inlineStr">
        <is>
          <t>Roseville Kids Care</t>
        </is>
      </c>
      <c r="C3" t="inlineStr">
        <is>
          <t>Roseville P &amp; C Kids Care Association Inc</t>
        </is>
      </c>
      <c r="D3" t="inlineStr">
        <is>
          <t>ROSEVILLE</t>
        </is>
      </c>
      <c r="E3" t="inlineStr">
        <is>
          <t>2069</t>
        </is>
      </c>
      <c r="F3" t="n">
        <v>44</v>
      </c>
      <c r="G3" t="inlineStr">
        <is>
          <t>Meeting NQS</t>
        </is>
      </c>
      <c r="H3" t="inlineStr">
        <is>
          <t>No</t>
        </is>
      </c>
      <c r="I3" t="inlineStr">
        <is>
          <t>No</t>
        </is>
      </c>
      <c r="J3" t="inlineStr">
        <is>
          <t>Yes</t>
        </is>
      </c>
      <c r="K3" s="9" t="n">
        <v>45377</v>
      </c>
      <c r="L3" s="10" t="n"/>
      <c r="M3" s="10" t="n"/>
      <c r="N3">
        <f>IFERROR(VLOOKUP(UPPER(D3),Suburb_LGA_Map!$A:$B,2,FALSE),"")</f>
        <v/>
      </c>
      <c r="O3" s="3" t="n">
        <v>1</v>
      </c>
      <c r="P3">
        <f>IF(K3="",0,IF(K3&gt;=DATE(2021,1,1),1,0))</f>
        <v/>
      </c>
      <c r="Q3">
        <f>IF(L3="",0,IF(L3&lt;TIME(7,0,0),1,0))</f>
        <v/>
      </c>
      <c r="R3">
        <f>IF(M3="",0,IF(M3&gt;TIME(18,0,0),1,0))</f>
        <v/>
      </c>
      <c r="S3">
        <f>IF(AND(H3="Yes",O3=1,COUNTIFS($C$2:C3,C3,$N$2:N3,N3,$H$2:H3,"Yes",$O$2:O3,1)=1),1,0)</f>
        <v/>
      </c>
      <c r="T3">
        <f>SUMIFS($F$2:$F$294,$C$2:$C$294,C3,$N$2:$N$294,N3,$H$2:$H$294,"Yes",$O$2:$O$294,1)</f>
        <v/>
      </c>
    </row>
    <row r="4">
      <c r="A4" t="inlineStr">
        <is>
          <t>SE-00008702</t>
        </is>
      </c>
      <c r="B4" t="inlineStr">
        <is>
          <t>Peter Rabbit Community Preschool</t>
        </is>
      </c>
      <c r="C4" t="inlineStr">
        <is>
          <t>Peter Rabbit Community Pre School Inc</t>
        </is>
      </c>
      <c r="D4" t="inlineStr">
        <is>
          <t>WAHROONGA</t>
        </is>
      </c>
      <c r="E4" t="inlineStr">
        <is>
          <t>2076</t>
        </is>
      </c>
      <c r="F4" t="n">
        <v>20</v>
      </c>
      <c r="G4" t="inlineStr">
        <is>
          <t>Meeting NQS</t>
        </is>
      </c>
      <c r="H4" t="inlineStr">
        <is>
          <t>No</t>
        </is>
      </c>
      <c r="I4" t="inlineStr">
        <is>
          <t>Yes</t>
        </is>
      </c>
      <c r="J4" t="inlineStr">
        <is>
          <t>No</t>
        </is>
      </c>
      <c r="K4" s="9" t="n">
        <v>39073</v>
      </c>
      <c r="L4" s="10" t="n"/>
      <c r="M4" s="10" t="n"/>
      <c r="N4">
        <f>IFERROR(VLOOKUP(UPPER(D4),Suburb_LGA_Map!$A:$B,2,FALSE),"")</f>
        <v/>
      </c>
      <c r="O4" s="3" t="n">
        <v>1</v>
      </c>
      <c r="P4">
        <f>IF(K4="",0,IF(K4&gt;=DATE(2021,1,1),1,0))</f>
        <v/>
      </c>
      <c r="Q4">
        <f>IF(L4="",0,IF(L4&lt;TIME(7,0,0),1,0))</f>
        <v/>
      </c>
      <c r="R4">
        <f>IF(M4="",0,IF(M4&gt;TIME(18,0,0),1,0))</f>
        <v/>
      </c>
      <c r="S4">
        <f>IF(AND(H4="Yes",O4=1,COUNTIFS($C$2:C4,C4,$N$2:N4,N4,$H$2:H4,"Yes",$O$2:O4,1)=1),1,0)</f>
        <v/>
      </c>
      <c r="T4">
        <f>SUMIFS($F$2:$F$294,$C$2:$C$294,C4,$N$2:$N$294,N4,$H$2:$H$294,"Yes",$O$2:$O$294,1)</f>
        <v/>
      </c>
    </row>
    <row r="5">
      <c r="A5" t="inlineStr">
        <is>
          <t>SE-00008711</t>
        </is>
      </c>
      <c r="B5" t="inlineStr">
        <is>
          <t>Pinjarra Early Years Pre-School</t>
        </is>
      </c>
      <c r="C5" t="inlineStr">
        <is>
          <t>Pinjarra Children Services Pty Ltd</t>
        </is>
      </c>
      <c r="D5" t="inlineStr">
        <is>
          <t>GORDON</t>
        </is>
      </c>
      <c r="E5" t="inlineStr">
        <is>
          <t>2072</t>
        </is>
      </c>
      <c r="F5" t="n">
        <v>70</v>
      </c>
      <c r="G5" t="inlineStr">
        <is>
          <t>Meeting NQS</t>
        </is>
      </c>
      <c r="H5" t="inlineStr">
        <is>
          <t>Yes</t>
        </is>
      </c>
      <c r="I5" t="inlineStr">
        <is>
          <t>Yes</t>
        </is>
      </c>
      <c r="J5" t="inlineStr">
        <is>
          <t>No</t>
        </is>
      </c>
      <c r="K5" s="9" t="n">
        <v>39429</v>
      </c>
      <c r="L5" s="10" t="n">
        <v>0.3333333333333333</v>
      </c>
      <c r="M5" s="10" t="n">
        <v>0.75</v>
      </c>
      <c r="N5">
        <f>IFERROR(VLOOKUP(UPPER(D5),Suburb_LGA_Map!$A:$B,2,FALSE),"")</f>
        <v/>
      </c>
      <c r="O5" s="3" t="n">
        <v>1</v>
      </c>
      <c r="P5">
        <f>IF(K5="",0,IF(K5&gt;=DATE(2021,1,1),1,0))</f>
        <v/>
      </c>
      <c r="Q5">
        <f>IF(L5="",0,IF(L5&lt;TIME(7,0,0),1,0))</f>
        <v/>
      </c>
      <c r="R5">
        <f>IF(M5="",0,IF(M5&gt;TIME(18,0,0),1,0))</f>
        <v/>
      </c>
      <c r="S5">
        <f>IF(AND(H5="Yes",O5=1,COUNTIFS($C$2:C5,C5,$N$2:N5,N5,$H$2:H5,"Yes",$O$2:O5,1)=1),1,0)</f>
        <v/>
      </c>
      <c r="T5">
        <f>SUMIFS($F$2:$F$294,$C$2:$C$294,C5,$N$2:$N$294,N5,$H$2:$H$294,"Yes",$O$2:$O$294,1)</f>
        <v/>
      </c>
    </row>
    <row r="6">
      <c r="A6" t="inlineStr">
        <is>
          <t>SE-00008733</t>
        </is>
      </c>
      <c r="B6" t="inlineStr">
        <is>
          <t>Guardian Childcare &amp; Education Wahroonga</t>
        </is>
      </c>
      <c r="C6" t="inlineStr">
        <is>
          <t>Guardian Community Early Learning Centres Pty Ltd</t>
        </is>
      </c>
      <c r="D6" t="inlineStr">
        <is>
          <t>WAHROONGA</t>
        </is>
      </c>
      <c r="E6" t="inlineStr">
        <is>
          <t>2076</t>
        </is>
      </c>
      <c r="F6" t="n">
        <v>78</v>
      </c>
      <c r="G6" t="inlineStr">
        <is>
          <t>Meeting NQS</t>
        </is>
      </c>
      <c r="H6" t="inlineStr">
        <is>
          <t>Yes</t>
        </is>
      </c>
      <c r="I6" t="inlineStr">
        <is>
          <t>No</t>
        </is>
      </c>
      <c r="J6" t="inlineStr">
        <is>
          <t>No</t>
        </is>
      </c>
      <c r="K6" s="9" t="n">
        <v>39965</v>
      </c>
      <c r="L6" s="10" t="n">
        <v>0.2708333333333333</v>
      </c>
      <c r="M6" s="10" t="n">
        <v>0.7708333333333334</v>
      </c>
      <c r="N6">
        <f>IFERROR(VLOOKUP(UPPER(D6),Suburb_LGA_Map!$A:$B,2,FALSE),"")</f>
        <v/>
      </c>
      <c r="O6" s="3" t="n">
        <v>1</v>
      </c>
      <c r="P6">
        <f>IF(K6="",0,IF(K6&gt;=DATE(2021,1,1),1,0))</f>
        <v/>
      </c>
      <c r="Q6">
        <f>IF(L6="",0,IF(L6&lt;TIME(7,0,0),1,0))</f>
        <v/>
      </c>
      <c r="R6">
        <f>IF(M6="",0,IF(M6&gt;TIME(18,0,0),1,0))</f>
        <v/>
      </c>
      <c r="S6">
        <f>IF(AND(H6="Yes",O6=1,COUNTIFS($C$2:C6,C6,$N$2:N6,N6,$H$2:H6,"Yes",$O$2:O6,1)=1),1,0)</f>
        <v/>
      </c>
      <c r="T6">
        <f>SUMIFS($F$2:$F$294,$C$2:$C$294,C6,$N$2:$N$294,N6,$H$2:$H$294,"Yes",$O$2:$O$294,1)</f>
        <v/>
      </c>
    </row>
    <row r="7">
      <c r="A7" t="inlineStr">
        <is>
          <t>SE-00008750</t>
        </is>
      </c>
      <c r="B7" t="inlineStr">
        <is>
          <t>Masada Cottage Early Learning Centre</t>
        </is>
      </c>
      <c r="C7" t="inlineStr">
        <is>
          <t>Masada College</t>
        </is>
      </c>
      <c r="D7" t="inlineStr">
        <is>
          <t>ST IVES</t>
        </is>
      </c>
      <c r="E7" t="inlineStr">
        <is>
          <t>2075</t>
        </is>
      </c>
      <c r="F7" t="n">
        <v>81</v>
      </c>
      <c r="G7" t="inlineStr">
        <is>
          <t>Meeting NQS</t>
        </is>
      </c>
      <c r="H7" t="inlineStr">
        <is>
          <t>Yes</t>
        </is>
      </c>
      <c r="I7" t="inlineStr">
        <is>
          <t>No</t>
        </is>
      </c>
      <c r="J7" t="inlineStr">
        <is>
          <t>No</t>
        </is>
      </c>
      <c r="K7" s="9" t="n">
        <v>39565</v>
      </c>
      <c r="L7" s="10" t="n">
        <v>0.3125</v>
      </c>
      <c r="M7" s="10" t="n">
        <v>0.75</v>
      </c>
      <c r="N7">
        <f>IFERROR(VLOOKUP(UPPER(D7),Suburb_LGA_Map!$A:$B,2,FALSE),"")</f>
        <v/>
      </c>
      <c r="O7" s="3" t="n">
        <v>1</v>
      </c>
      <c r="P7">
        <f>IF(K7="",0,IF(K7&gt;=DATE(2021,1,1),1,0))</f>
        <v/>
      </c>
      <c r="Q7">
        <f>IF(L7="",0,IF(L7&lt;TIME(7,0,0),1,0))</f>
        <v/>
      </c>
      <c r="R7">
        <f>IF(M7="",0,IF(M7&gt;TIME(18,0,0),1,0))</f>
        <v/>
      </c>
      <c r="S7">
        <f>IF(AND(H7="Yes",O7=1,COUNTIFS($C$2:C7,C7,$N$2:N7,N7,$H$2:H7,"Yes",$O$2:O7,1)=1),1,0)</f>
        <v/>
      </c>
      <c r="T7">
        <f>SUMIFS($F$2:$F$294,$C$2:$C$294,C7,$N$2:$N$294,N7,$H$2:$H$294,"Yes",$O$2:$O$294,1)</f>
        <v/>
      </c>
    </row>
    <row r="8">
      <c r="A8" t="inlineStr">
        <is>
          <t>SE-00008783</t>
        </is>
      </c>
      <c r="B8" t="inlineStr">
        <is>
          <t>BILBY PRESCHOOL</t>
        </is>
      </c>
      <c r="C8" t="inlineStr">
        <is>
          <t>BILBY BABY PTY LTD</t>
        </is>
      </c>
      <c r="D8" t="inlineStr">
        <is>
          <t>ST LEONARDS</t>
        </is>
      </c>
      <c r="E8" t="inlineStr">
        <is>
          <t>2065</t>
        </is>
      </c>
      <c r="F8" t="n">
        <v>15</v>
      </c>
      <c r="G8" t="inlineStr">
        <is>
          <t>Meeting NQS</t>
        </is>
      </c>
      <c r="H8" t="inlineStr">
        <is>
          <t>Yes</t>
        </is>
      </c>
      <c r="I8" t="inlineStr">
        <is>
          <t>No</t>
        </is>
      </c>
      <c r="J8" t="inlineStr">
        <is>
          <t>No</t>
        </is>
      </c>
      <c r="K8" s="9" t="n">
        <v>39775</v>
      </c>
      <c r="L8" s="10" t="n">
        <v>0.3333333333333333</v>
      </c>
      <c r="M8" s="10" t="n">
        <v>0.75</v>
      </c>
      <c r="N8">
        <f>IFERROR(VLOOKUP(UPPER(D8),Suburb_LGA_Map!$A:$B,2,FALSE),"")</f>
        <v/>
      </c>
      <c r="O8" s="3" t="n">
        <v>1</v>
      </c>
      <c r="P8">
        <f>IF(K8="",0,IF(K8&gt;=DATE(2021,1,1),1,0))</f>
        <v/>
      </c>
      <c r="Q8">
        <f>IF(L8="",0,IF(L8&lt;TIME(7,0,0),1,0))</f>
        <v/>
      </c>
      <c r="R8">
        <f>IF(M8="",0,IF(M8&gt;TIME(18,0,0),1,0))</f>
        <v/>
      </c>
      <c r="S8">
        <f>IF(AND(H8="Yes",O8=1,COUNTIFS($C$2:C8,C8,$N$2:N8,N8,$H$2:H8,"Yes",$O$2:O8,1)=1),1,0)</f>
        <v/>
      </c>
      <c r="T8">
        <f>SUMIFS($F$2:$F$294,$C$2:$C$294,C8,$N$2:$N$294,N8,$H$2:$H$294,"Yes",$O$2:$O$294,1)</f>
        <v/>
      </c>
    </row>
    <row r="9">
      <c r="A9" t="inlineStr">
        <is>
          <t>SE-00008791</t>
        </is>
      </c>
      <c r="B9" t="inlineStr">
        <is>
          <t>Pymble Turramurra Preschool</t>
        </is>
      </c>
      <c r="C9" t="inlineStr">
        <is>
          <t>Pymble Turramurra Pre-School Inc</t>
        </is>
      </c>
      <c r="D9" t="inlineStr">
        <is>
          <t>TURRAMURRA</t>
        </is>
      </c>
      <c r="E9" t="inlineStr">
        <is>
          <t>2074</t>
        </is>
      </c>
      <c r="F9" t="n">
        <v>45</v>
      </c>
      <c r="G9" t="inlineStr">
        <is>
          <t>Exceeding NQS</t>
        </is>
      </c>
      <c r="H9" t="inlineStr">
        <is>
          <t>No</t>
        </is>
      </c>
      <c r="I9" t="inlineStr">
        <is>
          <t>Yes</t>
        </is>
      </c>
      <c r="J9" t="inlineStr">
        <is>
          <t>No</t>
        </is>
      </c>
      <c r="K9" s="9" t="n">
        <v>39036</v>
      </c>
      <c r="L9" s="10" t="n">
        <v>0.375</v>
      </c>
      <c r="M9" s="10" t="n">
        <v>0.625</v>
      </c>
      <c r="N9">
        <f>IFERROR(VLOOKUP(UPPER(D9),Suburb_LGA_Map!$A:$B,2,FALSE),"")</f>
        <v/>
      </c>
      <c r="O9" s="3" t="n">
        <v>1</v>
      </c>
      <c r="P9">
        <f>IF(K9="",0,IF(K9&gt;=DATE(2021,1,1),1,0))</f>
        <v/>
      </c>
      <c r="Q9">
        <f>IF(L9="",0,IF(L9&lt;TIME(7,0,0),1,0))</f>
        <v/>
      </c>
      <c r="R9">
        <f>IF(M9="",0,IF(M9&gt;TIME(18,0,0),1,0))</f>
        <v/>
      </c>
      <c r="S9">
        <f>IF(AND(H9="Yes",O9=1,COUNTIFS($C$2:C9,C9,$N$2:N9,N9,$H$2:H9,"Yes",$O$2:O9,1)=1),1,0)</f>
        <v/>
      </c>
      <c r="T9">
        <f>SUMIFS($F$2:$F$294,$C$2:$C$294,C9,$N$2:$N$294,N9,$H$2:$H$294,"Yes",$O$2:$O$294,1)</f>
        <v/>
      </c>
    </row>
    <row r="10">
      <c r="A10" t="inlineStr">
        <is>
          <t>SE-40000679</t>
        </is>
      </c>
      <c r="B10" t="inlineStr">
        <is>
          <t>TeamKids - Kingsgrove Public School</t>
        </is>
      </c>
      <c r="C10" t="inlineStr">
        <is>
          <t>TEAM HOLIDAY PTY LTD</t>
        </is>
      </c>
      <c r="D10" t="inlineStr">
        <is>
          <t>KINGSGROVE</t>
        </is>
      </c>
      <c r="E10" t="inlineStr">
        <is>
          <t>2208</t>
        </is>
      </c>
      <c r="F10" t="n">
        <v>55</v>
      </c>
      <c r="G10" t="inlineStr">
        <is>
          <t>Meeting NQS</t>
        </is>
      </c>
      <c r="H10" t="inlineStr">
        <is>
          <t>No</t>
        </is>
      </c>
      <c r="I10" t="inlineStr">
        <is>
          <t>No</t>
        </is>
      </c>
      <c r="J10" t="inlineStr">
        <is>
          <t>Yes</t>
        </is>
      </c>
      <c r="K10" s="9" t="n">
        <v>41516</v>
      </c>
      <c r="L10" s="10" t="n"/>
      <c r="M10" s="10" t="n"/>
      <c r="N10">
        <f>IFERROR(VLOOKUP(UPPER(D10),Suburb_LGA_Map!$A:$B,2,FALSE),"")</f>
        <v/>
      </c>
      <c r="O10" s="3" t="n">
        <v>1</v>
      </c>
      <c r="P10">
        <f>IF(K10="",0,IF(K10&gt;=DATE(2021,1,1),1,0))</f>
        <v/>
      </c>
      <c r="Q10">
        <f>IF(L10="",0,IF(L10&lt;TIME(7,0,0),1,0))</f>
        <v/>
      </c>
      <c r="R10">
        <f>IF(M10="",0,IF(M10&gt;TIME(18,0,0),1,0))</f>
        <v/>
      </c>
      <c r="S10">
        <f>IF(AND(H10="Yes",O10=1,COUNTIFS($C$2:C10,C10,$N$2:N10,N10,$H$2:H10,"Yes",$O$2:O10,1)=1),1,0)</f>
        <v/>
      </c>
      <c r="T10">
        <f>SUMIFS($F$2:$F$294,$C$2:$C$294,C10,$N$2:$N$294,N10,$H$2:$H$294,"Yes",$O$2:$O$294,1)</f>
        <v/>
      </c>
    </row>
    <row r="11">
      <c r="A11" t="inlineStr">
        <is>
          <t>SE-40000680</t>
        </is>
      </c>
      <c r="B11" t="inlineStr">
        <is>
          <t>Ganeinu - Gan Izzy</t>
        </is>
      </c>
      <c r="C11" t="inlineStr">
        <is>
          <t>Chabad House of the North Shore Limited</t>
        </is>
      </c>
      <c r="D11" t="inlineStr">
        <is>
          <t>ST IVES</t>
        </is>
      </c>
      <c r="E11" t="inlineStr">
        <is>
          <t>2075</t>
        </is>
      </c>
      <c r="F11" t="n">
        <v>80</v>
      </c>
      <c r="G11" t="inlineStr">
        <is>
          <t>Exceeding NQS</t>
        </is>
      </c>
      <c r="H11" t="inlineStr">
        <is>
          <t>Yes</t>
        </is>
      </c>
      <c r="I11" t="inlineStr">
        <is>
          <t>No</t>
        </is>
      </c>
      <c r="J11" t="inlineStr">
        <is>
          <t>Yes</t>
        </is>
      </c>
      <c r="K11" s="9" t="n">
        <v>41425</v>
      </c>
      <c r="L11" s="10" t="n">
        <v>0.3125</v>
      </c>
      <c r="M11" s="10" t="n">
        <v>0.75</v>
      </c>
      <c r="N11">
        <f>IFERROR(VLOOKUP(UPPER(D11),Suburb_LGA_Map!$A:$B,2,FALSE),"")</f>
        <v/>
      </c>
      <c r="O11" s="3" t="n">
        <v>1</v>
      </c>
      <c r="P11">
        <f>IF(K11="",0,IF(K11&gt;=DATE(2021,1,1),1,0))</f>
        <v/>
      </c>
      <c r="Q11">
        <f>IF(L11="",0,IF(L11&lt;TIME(7,0,0),1,0))</f>
        <v/>
      </c>
      <c r="R11">
        <f>IF(M11="",0,IF(M11&gt;TIME(18,0,0),1,0))</f>
        <v/>
      </c>
      <c r="S11">
        <f>IF(AND(H11="Yes",O11=1,COUNTIFS($C$2:C11,C11,$N$2:N11,N11,$H$2:H11,"Yes",$O$2:O11,1)=1),1,0)</f>
        <v/>
      </c>
      <c r="T11">
        <f>SUMIFS($F$2:$F$294,$C$2:$C$294,C11,$N$2:$N$294,N11,$H$2:$H$294,"Yes",$O$2:$O$294,1)</f>
        <v/>
      </c>
    </row>
    <row r="12">
      <c r="A12" t="inlineStr">
        <is>
          <t>SE-40019634</t>
        </is>
      </c>
      <c r="B12" t="inlineStr">
        <is>
          <t>Guardian Childcare &amp; Education St Ives</t>
        </is>
      </c>
      <c r="C12" t="inlineStr">
        <is>
          <t>Guardian Community Early Learning Centres Pty Ltd</t>
        </is>
      </c>
      <c r="D12" t="inlineStr">
        <is>
          <t>ST IVES</t>
        </is>
      </c>
      <c r="E12" t="inlineStr">
        <is>
          <t>2075</t>
        </is>
      </c>
      <c r="F12" t="n">
        <v>122</v>
      </c>
      <c r="G12" t="inlineStr">
        <is>
          <t>Meeting NQS</t>
        </is>
      </c>
      <c r="H12" t="inlineStr">
        <is>
          <t>Yes</t>
        </is>
      </c>
      <c r="I12" t="inlineStr">
        <is>
          <t>No</t>
        </is>
      </c>
      <c r="J12" t="inlineStr">
        <is>
          <t>No</t>
        </is>
      </c>
      <c r="K12" s="9" t="n">
        <v>44336</v>
      </c>
      <c r="L12" s="10" t="n">
        <v>0.2916666666666667</v>
      </c>
      <c r="M12" s="10" t="n">
        <v>0.75</v>
      </c>
      <c r="N12">
        <f>IFERROR(VLOOKUP(UPPER(D12),Suburb_LGA_Map!$A:$B,2,FALSE),"")</f>
        <v/>
      </c>
      <c r="O12" s="3" t="n">
        <v>1</v>
      </c>
      <c r="P12">
        <f>IF(K12="",0,IF(K12&gt;=DATE(2021,1,1),1,0))</f>
        <v/>
      </c>
      <c r="Q12">
        <f>IF(L12="",0,IF(L12&lt;TIME(7,0,0),1,0))</f>
        <v/>
      </c>
      <c r="R12">
        <f>IF(M12="",0,IF(M12&gt;TIME(18,0,0),1,0))</f>
        <v/>
      </c>
      <c r="S12">
        <f>IF(AND(H12="Yes",O12=1,COUNTIFS($C$2:C12,C12,$N$2:N12,N12,$H$2:H12,"Yes",$O$2:O12,1)=1),1,0)</f>
        <v/>
      </c>
      <c r="T12">
        <f>SUMIFS($F$2:$F$294,$C$2:$C$294,C12,$N$2:$N$294,N12,$H$2:$H$294,"Yes",$O$2:$O$294,1)</f>
        <v/>
      </c>
    </row>
    <row r="13">
      <c r="A13" t="inlineStr">
        <is>
          <t>SE-40019773</t>
        </is>
      </c>
      <c r="B13" t="inlineStr">
        <is>
          <t>Mini Masterminds Rockdale</t>
        </is>
      </c>
      <c r="C13" t="inlineStr">
        <is>
          <t>MMZ Holdings PTY LTD</t>
        </is>
      </c>
      <c r="D13" t="inlineStr">
        <is>
          <t>ROCKDALE</t>
        </is>
      </c>
      <c r="E13" t="inlineStr">
        <is>
          <t>2216</t>
        </is>
      </c>
      <c r="F13" t="n">
        <v>79</v>
      </c>
      <c r="G13" t="inlineStr">
        <is>
          <t>Meeting NQS</t>
        </is>
      </c>
      <c r="H13" t="inlineStr">
        <is>
          <t>Yes</t>
        </is>
      </c>
      <c r="I13" t="inlineStr">
        <is>
          <t>No</t>
        </is>
      </c>
      <c r="J13" t="inlineStr">
        <is>
          <t>No</t>
        </is>
      </c>
      <c r="K13" s="9" t="n">
        <v>44264</v>
      </c>
      <c r="L13" s="10" t="n">
        <v>0.2916666666666667</v>
      </c>
      <c r="M13" s="10" t="n">
        <v>0.75</v>
      </c>
      <c r="N13">
        <f>IFERROR(VLOOKUP(UPPER(D13),Suburb_LGA_Map!$A:$B,2,FALSE),"")</f>
        <v/>
      </c>
      <c r="O13" s="3" t="n">
        <v>1</v>
      </c>
      <c r="P13">
        <f>IF(K13="",0,IF(K13&gt;=DATE(2021,1,1),1,0))</f>
        <v/>
      </c>
      <c r="Q13">
        <f>IF(L13="",0,IF(L13&lt;TIME(7,0,0),1,0))</f>
        <v/>
      </c>
      <c r="R13">
        <f>IF(M13="",0,IF(M13&gt;TIME(18,0,0),1,0))</f>
        <v/>
      </c>
      <c r="S13">
        <f>IF(AND(H13="Yes",O13=1,COUNTIFS($C$2:C13,C13,$N$2:N13,N13,$H$2:H13,"Yes",$O$2:O13,1)=1),1,0)</f>
        <v/>
      </c>
      <c r="T13">
        <f>SUMIFS($F$2:$F$294,$C$2:$C$294,C13,$N$2:$N$294,N13,$H$2:$H$294,"Yes",$O$2:$O$294,1)</f>
        <v/>
      </c>
    </row>
    <row r="14">
      <c r="A14" t="inlineStr">
        <is>
          <t>SE-40009261</t>
        </is>
      </c>
      <c r="B14" t="inlineStr">
        <is>
          <t>MindChamps Early Learning @ Mascot 2</t>
        </is>
      </c>
      <c r="C14" t="inlineStr">
        <is>
          <t>MINDCHAMPS EARLY LEARNING 10 PTY. LIMITED</t>
        </is>
      </c>
      <c r="D14" t="inlineStr">
        <is>
          <t>MASCOT</t>
        </is>
      </c>
      <c r="E14" t="inlineStr">
        <is>
          <t>2020</t>
        </is>
      </c>
      <c r="F14" t="n">
        <v>86</v>
      </c>
      <c r="G14" t="inlineStr">
        <is>
          <t>Meeting NQS</t>
        </is>
      </c>
      <c r="H14" t="inlineStr">
        <is>
          <t>Yes</t>
        </is>
      </c>
      <c r="I14" t="inlineStr">
        <is>
          <t>No</t>
        </is>
      </c>
      <c r="J14" t="inlineStr">
        <is>
          <t>No</t>
        </is>
      </c>
      <c r="K14" s="9" t="n">
        <v>42914</v>
      </c>
      <c r="L14" s="10" t="n">
        <v>0.2916666666666667</v>
      </c>
      <c r="M14" s="10" t="n">
        <v>0.7708333333333334</v>
      </c>
      <c r="N14">
        <f>IFERROR(VLOOKUP(UPPER(D14),Suburb_LGA_Map!$A:$B,2,FALSE),"")</f>
        <v/>
      </c>
      <c r="O14" s="3" t="n">
        <v>1</v>
      </c>
      <c r="P14">
        <f>IF(K14="",0,IF(K14&gt;=DATE(2021,1,1),1,0))</f>
        <v/>
      </c>
      <c r="Q14">
        <f>IF(L14="",0,IF(L14&lt;TIME(7,0,0),1,0))</f>
        <v/>
      </c>
      <c r="R14">
        <f>IF(M14="",0,IF(M14&gt;TIME(18,0,0),1,0))</f>
        <v/>
      </c>
      <c r="S14">
        <f>IF(AND(H14="Yes",O14=1,COUNTIFS($C$2:C14,C14,$N$2:N14,N14,$H$2:H14,"Yes",$O$2:O14,1)=1),1,0)</f>
        <v/>
      </c>
      <c r="T14">
        <f>SUMIFS($F$2:$F$294,$C$2:$C$294,C14,$N$2:$N$294,N14,$H$2:$H$294,"Yes",$O$2:$O$294,1)</f>
        <v/>
      </c>
    </row>
    <row r="15">
      <c r="A15" t="inlineStr">
        <is>
          <t>SE-00007741</t>
        </is>
      </c>
      <c r="B15" t="inlineStr">
        <is>
          <t>Kelly's Place Childrens Centre</t>
        </is>
      </c>
      <c r="C15" t="inlineStr">
        <is>
          <t>Kelly's Place Childrens' Centre</t>
        </is>
      </c>
      <c r="D15" t="inlineStr">
        <is>
          <t>CROWS NEST</t>
        </is>
      </c>
      <c r="E15" t="inlineStr">
        <is>
          <t>2065</t>
        </is>
      </c>
      <c r="F15" t="n">
        <v>45</v>
      </c>
      <c r="G15" t="inlineStr">
        <is>
          <t>Exceeding NQS</t>
        </is>
      </c>
      <c r="H15" t="inlineStr">
        <is>
          <t>Yes</t>
        </is>
      </c>
      <c r="I15" t="inlineStr">
        <is>
          <t>No</t>
        </is>
      </c>
      <c r="J15" t="inlineStr">
        <is>
          <t>No</t>
        </is>
      </c>
      <c r="K15" s="9" t="n">
        <v>38963</v>
      </c>
      <c r="L15" s="10" t="n">
        <v>0.3125</v>
      </c>
      <c r="M15" s="10" t="n">
        <v>0.75</v>
      </c>
      <c r="N15">
        <f>IFERROR(VLOOKUP(UPPER(D15),Suburb_LGA_Map!$A:$B,2,FALSE),"")</f>
        <v/>
      </c>
      <c r="O15" s="3" t="n">
        <v>1</v>
      </c>
      <c r="P15">
        <f>IF(K15="",0,IF(K15&gt;=DATE(2021,1,1),1,0))</f>
        <v/>
      </c>
      <c r="Q15">
        <f>IF(L15="",0,IF(L15&lt;TIME(7,0,0),1,0))</f>
        <v/>
      </c>
      <c r="R15">
        <f>IF(M15="",0,IF(M15&gt;TIME(18,0,0),1,0))</f>
        <v/>
      </c>
      <c r="S15">
        <f>IF(AND(H15="Yes",O15=1,COUNTIFS($C$2:C15,C15,$N$2:N15,N15,$H$2:H15,"Yes",$O$2:O15,1)=1),1,0)</f>
        <v/>
      </c>
      <c r="T15">
        <f>SUMIFS($F$2:$F$294,$C$2:$C$294,C15,$N$2:$N$294,N15,$H$2:$H$294,"Yes",$O$2:$O$294,1)</f>
        <v/>
      </c>
    </row>
    <row r="16">
      <c r="A16" t="inlineStr">
        <is>
          <t>SE-00007745</t>
        </is>
      </c>
      <c r="B16" t="inlineStr">
        <is>
          <t>Treewood Early Learning Centre</t>
        </is>
      </c>
      <c r="C16" t="inlineStr">
        <is>
          <t>SUNRIEL GROUP PTY LTD</t>
        </is>
      </c>
      <c r="D16" t="inlineStr">
        <is>
          <t>ST IVES</t>
        </is>
      </c>
      <c r="E16" t="inlineStr">
        <is>
          <t>2075</t>
        </is>
      </c>
      <c r="F16" t="n">
        <v>17</v>
      </c>
      <c r="G16" t="inlineStr">
        <is>
          <t>Meeting NQS</t>
        </is>
      </c>
      <c r="H16" t="inlineStr">
        <is>
          <t>Yes</t>
        </is>
      </c>
      <c r="I16" t="inlineStr">
        <is>
          <t>No</t>
        </is>
      </c>
      <c r="J16" t="inlineStr">
        <is>
          <t>Yes</t>
        </is>
      </c>
      <c r="K16" s="9" t="n">
        <v>39154</v>
      </c>
      <c r="L16" s="10" t="n">
        <v>0.3125</v>
      </c>
      <c r="M16" s="10" t="n">
        <v>0.75</v>
      </c>
      <c r="N16">
        <f>IFERROR(VLOOKUP(UPPER(D16),Suburb_LGA_Map!$A:$B,2,FALSE),"")</f>
        <v/>
      </c>
      <c r="O16" s="3" t="n">
        <v>1</v>
      </c>
      <c r="P16">
        <f>IF(K16="",0,IF(K16&gt;=DATE(2021,1,1),1,0))</f>
        <v/>
      </c>
      <c r="Q16">
        <f>IF(L16="",0,IF(L16&lt;TIME(7,0,0),1,0))</f>
        <v/>
      </c>
      <c r="R16">
        <f>IF(M16="",0,IF(M16&gt;TIME(18,0,0),1,0))</f>
        <v/>
      </c>
      <c r="S16">
        <f>IF(AND(H16="Yes",O16=1,COUNTIFS($C$2:C16,C16,$N$2:N16,N16,$H$2:H16,"Yes",$O$2:O16,1)=1),1,0)</f>
        <v/>
      </c>
      <c r="T16">
        <f>SUMIFS($F$2:$F$294,$C$2:$C$294,C16,$N$2:$N$294,N16,$H$2:$H$294,"Yes",$O$2:$O$294,1)</f>
        <v/>
      </c>
    </row>
    <row r="17">
      <c r="A17" t="inlineStr">
        <is>
          <t>SE-00007755</t>
        </is>
      </c>
      <c r="B17" t="inlineStr">
        <is>
          <t>Little Gumnuts West Pymble Early Learning Centre</t>
        </is>
      </c>
      <c r="C17" t="inlineStr">
        <is>
          <t>The Trustee for Little Gumnuts Early Learning One Trust</t>
        </is>
      </c>
      <c r="D17" t="inlineStr">
        <is>
          <t>PYMBLE</t>
        </is>
      </c>
      <c r="E17" t="inlineStr">
        <is>
          <t>2073</t>
        </is>
      </c>
      <c r="F17" t="n">
        <v>40</v>
      </c>
      <c r="G17" t="inlineStr">
        <is>
          <t>Meeting NQS</t>
        </is>
      </c>
      <c r="H17" t="inlineStr">
        <is>
          <t>Yes</t>
        </is>
      </c>
      <c r="I17" t="inlineStr">
        <is>
          <t>No</t>
        </is>
      </c>
      <c r="J17" t="inlineStr">
        <is>
          <t>No</t>
        </is>
      </c>
      <c r="K17" s="9" t="n">
        <v>39208</v>
      </c>
      <c r="L17" s="10" t="n">
        <v>0.3125</v>
      </c>
      <c r="M17" s="10" t="n">
        <v>0.75</v>
      </c>
      <c r="N17">
        <f>IFERROR(VLOOKUP(UPPER(D17),Suburb_LGA_Map!$A:$B,2,FALSE),"")</f>
        <v/>
      </c>
      <c r="O17" s="3" t="n">
        <v>1</v>
      </c>
      <c r="P17">
        <f>IF(K17="",0,IF(K17&gt;=DATE(2021,1,1),1,0))</f>
        <v/>
      </c>
      <c r="Q17">
        <f>IF(L17="",0,IF(L17&lt;TIME(7,0,0),1,0))</f>
        <v/>
      </c>
      <c r="R17">
        <f>IF(M17="",0,IF(M17&gt;TIME(18,0,0),1,0))</f>
        <v/>
      </c>
      <c r="S17">
        <f>IF(AND(H17="Yes",O17=1,COUNTIFS($C$2:C17,C17,$N$2:N17,N17,$H$2:H17,"Yes",$O$2:O17,1)=1),1,0)</f>
        <v/>
      </c>
      <c r="T17">
        <f>SUMIFS($F$2:$F$294,$C$2:$C$294,C17,$N$2:$N$294,N17,$H$2:$H$294,"Yes",$O$2:$O$294,1)</f>
        <v/>
      </c>
    </row>
    <row r="18">
      <c r="A18" t="inlineStr">
        <is>
          <t>SE-00007769</t>
        </is>
      </c>
      <c r="B18" t="inlineStr">
        <is>
          <t>Only About Children Turramurra</t>
        </is>
      </c>
      <c r="C18" t="inlineStr">
        <is>
          <t>Only About Children Pty Ltd</t>
        </is>
      </c>
      <c r="D18" t="inlineStr">
        <is>
          <t>TURRAMURRA</t>
        </is>
      </c>
      <c r="E18" t="inlineStr">
        <is>
          <t>2074</t>
        </is>
      </c>
      <c r="F18" t="n">
        <v>87</v>
      </c>
      <c r="G18" t="inlineStr">
        <is>
          <t>Meeting NQS</t>
        </is>
      </c>
      <c r="H18" t="inlineStr">
        <is>
          <t>Yes</t>
        </is>
      </c>
      <c r="I18" t="inlineStr">
        <is>
          <t>No</t>
        </is>
      </c>
      <c r="J18" t="inlineStr">
        <is>
          <t>No</t>
        </is>
      </c>
      <c r="K18" s="9" t="n">
        <v>39195</v>
      </c>
      <c r="L18" s="10" t="n">
        <v>0.2916666666666667</v>
      </c>
      <c r="M18" s="10" t="n">
        <v>0.75</v>
      </c>
      <c r="N18">
        <f>IFERROR(VLOOKUP(UPPER(D18),Suburb_LGA_Map!$A:$B,2,FALSE),"")</f>
        <v/>
      </c>
      <c r="O18" s="3" t="n">
        <v>1</v>
      </c>
      <c r="P18">
        <f>IF(K18="",0,IF(K18&gt;=DATE(2021,1,1),1,0))</f>
        <v/>
      </c>
      <c r="Q18">
        <f>IF(L18="",0,IF(L18&lt;TIME(7,0,0),1,0))</f>
        <v/>
      </c>
      <c r="R18">
        <f>IF(M18="",0,IF(M18&gt;TIME(18,0,0),1,0))</f>
        <v/>
      </c>
      <c r="S18">
        <f>IF(AND(H18="Yes",O18=1,COUNTIFS($C$2:C18,C18,$N$2:N18,N18,$H$2:H18,"Yes",$O$2:O18,1)=1),1,0)</f>
        <v/>
      </c>
      <c r="T18">
        <f>SUMIFS($F$2:$F$294,$C$2:$C$294,C18,$N$2:$N$294,N18,$H$2:$H$294,"Yes",$O$2:$O$294,1)</f>
        <v/>
      </c>
    </row>
    <row r="19">
      <c r="A19" t="inlineStr">
        <is>
          <t>SE-00007816</t>
        </is>
      </c>
      <c r="B19" t="inlineStr">
        <is>
          <t>Kids Oasis</t>
        </is>
      </c>
      <c r="C19" t="inlineStr">
        <is>
          <t>Mrs Therese Owen</t>
        </is>
      </c>
      <c r="D19" t="inlineStr">
        <is>
          <t>KINGSGROVE</t>
        </is>
      </c>
      <c r="E19" t="inlineStr">
        <is>
          <t>2208</t>
        </is>
      </c>
      <c r="F19" t="n">
        <v>29</v>
      </c>
      <c r="G19" t="inlineStr">
        <is>
          <t>Exceeding NQS</t>
        </is>
      </c>
      <c r="H19" t="inlineStr">
        <is>
          <t>Yes</t>
        </is>
      </c>
      <c r="I19" t="inlineStr">
        <is>
          <t>No</t>
        </is>
      </c>
      <c r="J19" t="inlineStr">
        <is>
          <t>No</t>
        </is>
      </c>
      <c r="K19" s="9" t="n">
        <v>39544</v>
      </c>
      <c r="L19" s="10" t="n">
        <v>0.3125</v>
      </c>
      <c r="M19" s="10" t="n">
        <v>0.7291666666666666</v>
      </c>
      <c r="N19">
        <f>IFERROR(VLOOKUP(UPPER(D19),Suburb_LGA_Map!$A:$B,2,FALSE),"")</f>
        <v/>
      </c>
      <c r="O19" s="3" t="n">
        <v>1</v>
      </c>
      <c r="P19">
        <f>IF(K19="",0,IF(K19&gt;=DATE(2021,1,1),1,0))</f>
        <v/>
      </c>
      <c r="Q19">
        <f>IF(L19="",0,IF(L19&lt;TIME(7,0,0),1,0))</f>
        <v/>
      </c>
      <c r="R19">
        <f>IF(M19="",0,IF(M19&gt;TIME(18,0,0),1,0))</f>
        <v/>
      </c>
      <c r="S19">
        <f>IF(AND(H19="Yes",O19=1,COUNTIFS($C$2:C19,C19,$N$2:N19,N19,$H$2:H19,"Yes",$O$2:O19,1)=1),1,0)</f>
        <v/>
      </c>
      <c r="T19">
        <f>SUMIFS($F$2:$F$294,$C$2:$C$294,C19,$N$2:$N$294,N19,$H$2:$H$294,"Yes",$O$2:$O$294,1)</f>
        <v/>
      </c>
    </row>
    <row r="20">
      <c r="A20" t="inlineStr">
        <is>
          <t>SE-00014282</t>
        </is>
      </c>
      <c r="B20" t="inlineStr">
        <is>
          <t>Learn and Play</t>
        </is>
      </c>
      <c r="C20" t="inlineStr">
        <is>
          <t>NIACM Pty Ltd as Trustee for the NIACM Family Trust</t>
        </is>
      </c>
      <c r="D20" t="inlineStr">
        <is>
          <t>BEXLEY</t>
        </is>
      </c>
      <c r="E20" t="inlineStr">
        <is>
          <t>2207</t>
        </is>
      </c>
      <c r="F20" t="n">
        <v>46</v>
      </c>
      <c r="G20" t="inlineStr">
        <is>
          <t>Working Towards NQS</t>
        </is>
      </c>
      <c r="H20" t="inlineStr">
        <is>
          <t>Yes</t>
        </is>
      </c>
      <c r="I20" t="inlineStr">
        <is>
          <t>No</t>
        </is>
      </c>
      <c r="J20" t="inlineStr">
        <is>
          <t>No</t>
        </is>
      </c>
      <c r="K20" s="9" t="n">
        <v>41495</v>
      </c>
      <c r="L20" s="10" t="n">
        <v>0.3125</v>
      </c>
      <c r="M20" s="10" t="n">
        <v>0.75</v>
      </c>
      <c r="N20">
        <f>IFERROR(VLOOKUP(UPPER(D20),Suburb_LGA_Map!$A:$B,2,FALSE),"")</f>
        <v/>
      </c>
      <c r="O20" s="3" t="n">
        <v>1</v>
      </c>
      <c r="P20">
        <f>IF(K20="",0,IF(K20&gt;=DATE(2021,1,1),1,0))</f>
        <v/>
      </c>
      <c r="Q20">
        <f>IF(L20="",0,IF(L20&lt;TIME(7,0,0),1,0))</f>
        <v/>
      </c>
      <c r="R20">
        <f>IF(M20="",0,IF(M20&gt;TIME(18,0,0),1,0))</f>
        <v/>
      </c>
      <c r="S20">
        <f>IF(AND(H20="Yes",O20=1,COUNTIFS($C$2:C20,C20,$N$2:N20,N20,$H$2:H20,"Yes",$O$2:O20,1)=1),1,0)</f>
        <v/>
      </c>
      <c r="T20">
        <f>SUMIFS($F$2:$F$294,$C$2:$C$294,C20,$N$2:$N$294,N20,$H$2:$H$294,"Yes",$O$2:$O$294,1)</f>
        <v/>
      </c>
    </row>
    <row r="21">
      <c r="A21" t="inlineStr">
        <is>
          <t>SE-40004260</t>
        </is>
      </c>
      <c r="B21" t="inlineStr">
        <is>
          <t>Reddam House Early Learning School St Leonards</t>
        </is>
      </c>
      <c r="C21" t="inlineStr">
        <is>
          <t>Inspired Australia Pty Limited</t>
        </is>
      </c>
      <c r="D21" t="inlineStr">
        <is>
          <t>ST LEONARDS</t>
        </is>
      </c>
      <c r="E21" t="inlineStr">
        <is>
          <t>2065</t>
        </is>
      </c>
      <c r="F21" t="n">
        <v>242</v>
      </c>
      <c r="G21" t="inlineStr">
        <is>
          <t>Meeting NQS</t>
        </is>
      </c>
      <c r="H21" t="inlineStr">
        <is>
          <t>Yes</t>
        </is>
      </c>
      <c r="I21" t="inlineStr">
        <is>
          <t>No</t>
        </is>
      </c>
      <c r="J21" t="inlineStr">
        <is>
          <t>No</t>
        </is>
      </c>
      <c r="K21" s="9" t="n">
        <v>42117</v>
      </c>
      <c r="L21" s="10" t="n">
        <v>0.3333333333333333</v>
      </c>
      <c r="M21" s="10" t="n">
        <v>0.75</v>
      </c>
      <c r="N21">
        <f>IFERROR(VLOOKUP(UPPER(D21),Suburb_LGA_Map!$A:$B,2,FALSE),"")</f>
        <v/>
      </c>
      <c r="O21" s="3" t="n">
        <v>1</v>
      </c>
      <c r="P21">
        <f>IF(K21="",0,IF(K21&gt;=DATE(2021,1,1),1,0))</f>
        <v/>
      </c>
      <c r="Q21">
        <f>IF(L21="",0,IF(L21&lt;TIME(7,0,0),1,0))</f>
        <v/>
      </c>
      <c r="R21">
        <f>IF(M21="",0,IF(M21&gt;TIME(18,0,0),1,0))</f>
        <v/>
      </c>
      <c r="S21">
        <f>IF(AND(H21="Yes",O21=1,COUNTIFS($C$2:C21,C21,$N$2:N21,N21,$H$2:H21,"Yes",$O$2:O21,1)=1),1,0)</f>
        <v/>
      </c>
      <c r="T21">
        <f>SUMIFS($F$2:$F$294,$C$2:$C$294,C21,$N$2:$N$294,N21,$H$2:$H$294,"Yes",$O$2:$O$294,1)</f>
        <v/>
      </c>
    </row>
    <row r="22">
      <c r="A22" t="inlineStr">
        <is>
          <t>SE-40004430</t>
        </is>
      </c>
      <c r="B22" t="inlineStr">
        <is>
          <t>The Green Elephant Early Learning Centre</t>
        </is>
      </c>
      <c r="C22" t="inlineStr">
        <is>
          <t>Four Little Ducks Pty Ltd</t>
        </is>
      </c>
      <c r="D22" t="inlineStr">
        <is>
          <t>ROSEBERY</t>
        </is>
      </c>
      <c r="E22" t="inlineStr">
        <is>
          <t>2018</t>
        </is>
      </c>
      <c r="F22" t="n">
        <v>69</v>
      </c>
      <c r="G22" t="inlineStr">
        <is>
          <t>Exceeding NQS</t>
        </is>
      </c>
      <c r="H22" t="inlineStr">
        <is>
          <t>Yes</t>
        </is>
      </c>
      <c r="I22" t="inlineStr">
        <is>
          <t>No</t>
        </is>
      </c>
      <c r="J22" t="inlineStr">
        <is>
          <t>No</t>
        </is>
      </c>
      <c r="K22" s="9" t="n">
        <v>42317</v>
      </c>
      <c r="L22" s="10" t="n">
        <v>0.2916666666666667</v>
      </c>
      <c r="M22" s="10" t="n">
        <v>0.75</v>
      </c>
      <c r="N22">
        <f>IFERROR(VLOOKUP(UPPER(D22),Suburb_LGA_Map!$A:$B,2,FALSE),"")</f>
        <v/>
      </c>
      <c r="O22" s="3" t="n">
        <v>1</v>
      </c>
      <c r="P22">
        <f>IF(K22="",0,IF(K22&gt;=DATE(2021,1,1),1,0))</f>
        <v/>
      </c>
      <c r="Q22">
        <f>IF(L22="",0,IF(L22&lt;TIME(7,0,0),1,0))</f>
        <v/>
      </c>
      <c r="R22">
        <f>IF(M22="",0,IF(M22&gt;TIME(18,0,0),1,0))</f>
        <v/>
      </c>
      <c r="S22">
        <f>IF(AND(H22="Yes",O22=1,COUNTIFS($C$2:C22,C22,$N$2:N22,N22,$H$2:H22,"Yes",$O$2:O22,1)=1),1,0)</f>
        <v/>
      </c>
      <c r="T22">
        <f>SUMIFS($F$2:$F$294,$C$2:$C$294,C22,$N$2:$N$294,N22,$H$2:$H$294,"Yes",$O$2:$O$294,1)</f>
        <v/>
      </c>
    </row>
    <row r="23">
      <c r="A23" t="inlineStr">
        <is>
          <t>SE-00006704</t>
        </is>
      </c>
      <c r="B23" t="inlineStr">
        <is>
          <t>Early Learners of Botany Bay</t>
        </is>
      </c>
      <c r="C23" t="inlineStr">
        <is>
          <t>EARLY EDUCATION HOLDINGS PTY LTD</t>
        </is>
      </c>
      <c r="D23" t="inlineStr">
        <is>
          <t>BOTANY</t>
        </is>
      </c>
      <c r="E23" t="inlineStr">
        <is>
          <t>2019</t>
        </is>
      </c>
      <c r="F23" t="n">
        <v>38</v>
      </c>
      <c r="G23" t="inlineStr">
        <is>
          <t>Meeting NQS</t>
        </is>
      </c>
      <c r="H23" t="inlineStr">
        <is>
          <t>Yes</t>
        </is>
      </c>
      <c r="I23" t="inlineStr">
        <is>
          <t>No</t>
        </is>
      </c>
      <c r="J23" t="inlineStr">
        <is>
          <t>No</t>
        </is>
      </c>
      <c r="K23" s="9" t="n">
        <v>39600</v>
      </c>
      <c r="L23" s="10" t="n">
        <v>0.2916666666666667</v>
      </c>
      <c r="M23" s="10" t="n">
        <v>0.7291666666666666</v>
      </c>
      <c r="N23">
        <f>IFERROR(VLOOKUP(UPPER(D23),Suburb_LGA_Map!$A:$B,2,FALSE),"")</f>
        <v/>
      </c>
      <c r="O23" s="3" t="n">
        <v>1</v>
      </c>
      <c r="P23">
        <f>IF(K23="",0,IF(K23&gt;=DATE(2021,1,1),1,0))</f>
        <v/>
      </c>
      <c r="Q23">
        <f>IF(L23="",0,IF(L23&lt;TIME(7,0,0),1,0))</f>
        <v/>
      </c>
      <c r="R23">
        <f>IF(M23="",0,IF(M23&gt;TIME(18,0,0),1,0))</f>
        <v/>
      </c>
      <c r="S23">
        <f>IF(AND(H23="Yes",O23=1,COUNTIFS($C$2:C23,C23,$N$2:N23,N23,$H$2:H23,"Yes",$O$2:O23,1)=1),1,0)</f>
        <v/>
      </c>
      <c r="T23">
        <f>SUMIFS($F$2:$F$294,$C$2:$C$294,C23,$N$2:$N$294,N23,$H$2:$H$294,"Yes",$O$2:$O$294,1)</f>
        <v/>
      </c>
    </row>
    <row r="24">
      <c r="A24" t="inlineStr">
        <is>
          <t>SE-00006751</t>
        </is>
      </c>
      <c r="B24" t="inlineStr">
        <is>
          <t>Bright Stars Pre-School</t>
        </is>
      </c>
      <c r="C24" t="inlineStr">
        <is>
          <t>Abdallah Group Pty Ltd</t>
        </is>
      </c>
      <c r="D24" t="inlineStr">
        <is>
          <t>ROCKDALE</t>
        </is>
      </c>
      <c r="E24" t="inlineStr">
        <is>
          <t>2216</t>
        </is>
      </c>
      <c r="F24" t="n">
        <v>41</v>
      </c>
      <c r="G24" t="inlineStr">
        <is>
          <t>Meeting NQS</t>
        </is>
      </c>
      <c r="H24" t="inlineStr">
        <is>
          <t>Yes</t>
        </is>
      </c>
      <c r="I24" t="inlineStr">
        <is>
          <t>No</t>
        </is>
      </c>
      <c r="J24" t="inlineStr">
        <is>
          <t>No</t>
        </is>
      </c>
      <c r="K24" s="9" t="n">
        <v>39790</v>
      </c>
      <c r="L24" s="10" t="n">
        <v>0.2708333333333333</v>
      </c>
      <c r="M24" s="10" t="n">
        <v>0.7708333333333334</v>
      </c>
      <c r="N24">
        <f>IFERROR(VLOOKUP(UPPER(D24),Suburb_LGA_Map!$A:$B,2,FALSE),"")</f>
        <v/>
      </c>
      <c r="O24" s="3" t="n">
        <v>1</v>
      </c>
      <c r="P24">
        <f>IF(K24="",0,IF(K24&gt;=DATE(2021,1,1),1,0))</f>
        <v/>
      </c>
      <c r="Q24">
        <f>IF(L24="",0,IF(L24&lt;TIME(7,0,0),1,0))</f>
        <v/>
      </c>
      <c r="R24">
        <f>IF(M24="",0,IF(M24&gt;TIME(18,0,0),1,0))</f>
        <v/>
      </c>
      <c r="S24">
        <f>IF(AND(H24="Yes",O24=1,COUNTIFS($C$2:C24,C24,$N$2:N24,N24,$H$2:H24,"Yes",$O$2:O24,1)=1),1,0)</f>
        <v/>
      </c>
      <c r="T24">
        <f>SUMIFS($F$2:$F$294,$C$2:$C$294,C24,$N$2:$N$294,N24,$H$2:$H$294,"Yes",$O$2:$O$294,1)</f>
        <v/>
      </c>
    </row>
    <row r="25">
      <c r="A25" t="inlineStr">
        <is>
          <t>SE-00006774</t>
        </is>
      </c>
      <c r="B25" t="inlineStr">
        <is>
          <t>Toybox Early Learning</t>
        </is>
      </c>
      <c r="C25" t="inlineStr">
        <is>
          <t>Heavenly Grace Pty Ltd</t>
        </is>
      </c>
      <c r="D25" t="inlineStr">
        <is>
          <t>MASCOT</t>
        </is>
      </c>
      <c r="E25" t="inlineStr">
        <is>
          <t>2020</t>
        </is>
      </c>
      <c r="F25" t="n">
        <v>76</v>
      </c>
      <c r="G25" t="inlineStr">
        <is>
          <t>Meeting NQS</t>
        </is>
      </c>
      <c r="H25" t="inlineStr">
        <is>
          <t>Yes</t>
        </is>
      </c>
      <c r="I25" t="inlineStr">
        <is>
          <t>No</t>
        </is>
      </c>
      <c r="J25" t="inlineStr">
        <is>
          <t>No</t>
        </is>
      </c>
      <c r="K25" s="9" t="n">
        <v>39405</v>
      </c>
      <c r="L25" s="10" t="n">
        <v>0.2916666666666667</v>
      </c>
      <c r="M25" s="10" t="n">
        <v>0.75</v>
      </c>
      <c r="N25">
        <f>IFERROR(VLOOKUP(UPPER(D25),Suburb_LGA_Map!$A:$B,2,FALSE),"")</f>
        <v/>
      </c>
      <c r="O25" s="3" t="n">
        <v>1</v>
      </c>
      <c r="P25">
        <f>IF(K25="",0,IF(K25&gt;=DATE(2021,1,1),1,0))</f>
        <v/>
      </c>
      <c r="Q25">
        <f>IF(L25="",0,IF(L25&lt;TIME(7,0,0),1,0))</f>
        <v/>
      </c>
      <c r="R25">
        <f>IF(M25="",0,IF(M25&gt;TIME(18,0,0),1,0))</f>
        <v/>
      </c>
      <c r="S25">
        <f>IF(AND(H25="Yes",O25=1,COUNTIFS($C$2:C25,C25,$N$2:N25,N25,$H$2:H25,"Yes",$O$2:O25,1)=1),1,0)</f>
        <v/>
      </c>
      <c r="T25">
        <f>SUMIFS($F$2:$F$294,$C$2:$C$294,C25,$N$2:$N$294,N25,$H$2:$H$294,"Yes",$O$2:$O$294,1)</f>
        <v/>
      </c>
    </row>
    <row r="26">
      <c r="A26" t="inlineStr">
        <is>
          <t>SE-40014694</t>
        </is>
      </c>
      <c r="B26" t="inlineStr">
        <is>
          <t>Being Pymble</t>
        </is>
      </c>
      <c r="C26" t="inlineStr">
        <is>
          <t>Future Stars Children TC PTY LTD ATF Future Stars Children Investment Trust</t>
        </is>
      </c>
      <c r="D26" t="inlineStr">
        <is>
          <t>WEST PYMBLE</t>
        </is>
      </c>
      <c r="E26" t="inlineStr">
        <is>
          <t>2073</t>
        </is>
      </c>
      <c r="F26" t="n">
        <v>52</v>
      </c>
      <c r="G26" t="inlineStr">
        <is>
          <t>Exceeding NQS</t>
        </is>
      </c>
      <c r="H26" t="inlineStr">
        <is>
          <t>Yes</t>
        </is>
      </c>
      <c r="I26" t="inlineStr">
        <is>
          <t>No</t>
        </is>
      </c>
      <c r="J26" t="inlineStr">
        <is>
          <t>No</t>
        </is>
      </c>
      <c r="K26" s="9" t="n">
        <v>43545</v>
      </c>
      <c r="L26" s="10" t="n">
        <v>0.2916666666666667</v>
      </c>
      <c r="M26" s="10" t="n">
        <v>0.75</v>
      </c>
      <c r="N26">
        <f>IFERROR(VLOOKUP(UPPER(D26),Suburb_LGA_Map!$A:$B,2,FALSE),"")</f>
        <v/>
      </c>
      <c r="O26" s="3" t="n">
        <v>1</v>
      </c>
      <c r="P26">
        <f>IF(K26="",0,IF(K26&gt;=DATE(2021,1,1),1,0))</f>
        <v/>
      </c>
      <c r="Q26">
        <f>IF(L26="",0,IF(L26&lt;TIME(7,0,0),1,0))</f>
        <v/>
      </c>
      <c r="R26">
        <f>IF(M26="",0,IF(M26&gt;TIME(18,0,0),1,0))</f>
        <v/>
      </c>
      <c r="S26">
        <f>IF(AND(H26="Yes",O26=1,COUNTIFS($C$2:C26,C26,$N$2:N26,N26,$H$2:H26,"Yes",$O$2:O26,1)=1),1,0)</f>
        <v/>
      </c>
      <c r="T26">
        <f>SUMIFS($F$2:$F$294,$C$2:$C$294,C26,$N$2:$N$294,N26,$H$2:$H$294,"Yes",$O$2:$O$294,1)</f>
        <v/>
      </c>
    </row>
    <row r="27">
      <c r="A27" t="inlineStr">
        <is>
          <t>SE-40014711</t>
        </is>
      </c>
      <c r="B27" t="inlineStr">
        <is>
          <t>Little Angels at Pagewood Green</t>
        </is>
      </c>
      <c r="C27" t="inlineStr">
        <is>
          <t>Young Men's Christian Association of Sydney</t>
        </is>
      </c>
      <c r="D27" t="inlineStr">
        <is>
          <t>PAGEWOOD</t>
        </is>
      </c>
      <c r="E27" t="inlineStr">
        <is>
          <t>2035</t>
        </is>
      </c>
      <c r="F27" t="n">
        <v>91</v>
      </c>
      <c r="G27" t="inlineStr">
        <is>
          <t>Exceeding NQS</t>
        </is>
      </c>
      <c r="H27" t="inlineStr">
        <is>
          <t>Yes</t>
        </is>
      </c>
      <c r="I27" t="inlineStr">
        <is>
          <t>No</t>
        </is>
      </c>
      <c r="J27" t="inlineStr">
        <is>
          <t>No</t>
        </is>
      </c>
      <c r="K27" s="9" t="n">
        <v>43516</v>
      </c>
      <c r="L27" s="10" t="n">
        <v>0.2916666666666667</v>
      </c>
      <c r="M27" s="10" t="n">
        <v>0.75</v>
      </c>
      <c r="N27">
        <f>IFERROR(VLOOKUP(UPPER(D27),Suburb_LGA_Map!$A:$B,2,FALSE),"")</f>
        <v/>
      </c>
      <c r="O27" s="3" t="n">
        <v>1</v>
      </c>
      <c r="P27">
        <f>IF(K27="",0,IF(K27&gt;=DATE(2021,1,1),1,0))</f>
        <v/>
      </c>
      <c r="Q27">
        <f>IF(L27="",0,IF(L27&lt;TIME(7,0,0),1,0))</f>
        <v/>
      </c>
      <c r="R27">
        <f>IF(M27="",0,IF(M27&gt;TIME(18,0,0),1,0))</f>
        <v/>
      </c>
      <c r="S27">
        <f>IF(AND(H27="Yes",O27=1,COUNTIFS($C$2:C27,C27,$N$2:N27,N27,$H$2:H27,"Yes",$O$2:O27,1)=1),1,0)</f>
        <v/>
      </c>
      <c r="T27">
        <f>SUMIFS($F$2:$F$294,$C$2:$C$294,C27,$N$2:$N$294,N27,$H$2:$H$294,"Yes",$O$2:$O$294,1)</f>
        <v/>
      </c>
    </row>
    <row r="28">
      <c r="A28" t="inlineStr">
        <is>
          <t>SE-00008805</t>
        </is>
      </c>
      <c r="B28" t="inlineStr">
        <is>
          <t>My Best Me Early Learning Academy</t>
        </is>
      </c>
      <c r="C28" t="inlineStr"/>
      <c r="D28" t="inlineStr">
        <is>
          <t>SANS SOUCI</t>
        </is>
      </c>
      <c r="E28" t="inlineStr">
        <is>
          <t>2219</t>
        </is>
      </c>
      <c r="F28" t="n">
        <v>89</v>
      </c>
      <c r="G28" t="inlineStr">
        <is>
          <t>Meeting NQS</t>
        </is>
      </c>
      <c r="H28" t="inlineStr">
        <is>
          <t>Yes</t>
        </is>
      </c>
      <c r="I28" t="inlineStr">
        <is>
          <t>No</t>
        </is>
      </c>
      <c r="J28" t="inlineStr">
        <is>
          <t>No</t>
        </is>
      </c>
      <c r="K28" s="9" t="n">
        <v>39598</v>
      </c>
      <c r="L28" s="10" t="n">
        <v>0.2916666666666667</v>
      </c>
      <c r="M28" s="10" t="n">
        <v>0.75</v>
      </c>
      <c r="N28">
        <f>IFERROR(VLOOKUP(UPPER(D28),Suburb_LGA_Map!$A:$B,2,FALSE),"")</f>
        <v/>
      </c>
      <c r="O28" s="3" t="n">
        <v>1</v>
      </c>
      <c r="P28">
        <f>IF(K28="",0,IF(K28&gt;=DATE(2021,1,1),1,0))</f>
        <v/>
      </c>
      <c r="Q28">
        <f>IF(L28="",0,IF(L28&lt;TIME(7,0,0),1,0))</f>
        <v/>
      </c>
      <c r="R28">
        <f>IF(M28="",0,IF(M28&gt;TIME(18,0,0),1,0))</f>
        <v/>
      </c>
      <c r="S28">
        <f>IF(AND(H28="Yes",O28=1,COUNTIFS($C$2:C28,C28,$N$2:N28,N28,$H$2:H28,"Yes",$O$2:O28,1)=1),1,0)</f>
        <v/>
      </c>
      <c r="T28">
        <f>SUMIFS($F$2:$F$294,$C$2:$C$294,C28,$N$2:$N$294,N28,$H$2:$H$294,"Yes",$O$2:$O$294,1)</f>
        <v/>
      </c>
    </row>
    <row r="29">
      <c r="A29" t="inlineStr">
        <is>
          <t>SE-00008831</t>
        </is>
      </c>
      <c r="B29" t="inlineStr">
        <is>
          <t>Redlands House Cremorne</t>
        </is>
      </c>
      <c r="C29" t="inlineStr">
        <is>
          <t>SCECGS Redlands Limited</t>
        </is>
      </c>
      <c r="D29" t="inlineStr">
        <is>
          <t>CREMORNE</t>
        </is>
      </c>
      <c r="E29" t="inlineStr">
        <is>
          <t>2090</t>
        </is>
      </c>
      <c r="F29" t="n">
        <v>60</v>
      </c>
      <c r="G29" t="inlineStr">
        <is>
          <t>Exceeding NQS</t>
        </is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s="9" t="n">
        <v>39609</v>
      </c>
      <c r="L29" s="10" t="n"/>
      <c r="M29" s="10" t="n"/>
      <c r="N29">
        <f>IFERROR(VLOOKUP(UPPER(D29),Suburb_LGA_Map!$A:$B,2,FALSE),"")</f>
        <v/>
      </c>
      <c r="O29" s="3" t="n">
        <v>1</v>
      </c>
      <c r="P29">
        <f>IF(K29="",0,IF(K29&gt;=DATE(2021,1,1),1,0))</f>
        <v/>
      </c>
      <c r="Q29">
        <f>IF(L29="",0,IF(L29&lt;TIME(7,0,0),1,0))</f>
        <v/>
      </c>
      <c r="R29">
        <f>IF(M29="",0,IF(M29&gt;TIME(18,0,0),1,0))</f>
        <v/>
      </c>
      <c r="S29">
        <f>IF(AND(H29="Yes",O29=1,COUNTIFS($C$2:C29,C29,$N$2:N29,N29,$H$2:H29,"Yes",$O$2:O29,1)=1),1,0)</f>
        <v/>
      </c>
      <c r="T29">
        <f>SUMIFS($F$2:$F$294,$C$2:$C$294,C29,$N$2:$N$294,N29,$H$2:$H$294,"Yes",$O$2:$O$294,1)</f>
        <v/>
      </c>
    </row>
    <row r="30">
      <c r="A30" t="inlineStr">
        <is>
          <t>SE-00008843</t>
        </is>
      </c>
      <c r="B30" t="inlineStr">
        <is>
          <t>Rhonda's Cottage</t>
        </is>
      </c>
      <c r="C30" t="inlineStr">
        <is>
          <t>Active Kids Pre School Centre of Excellence Pty Ltd</t>
        </is>
      </c>
      <c r="D30" t="inlineStr">
        <is>
          <t>CREMORNE</t>
        </is>
      </c>
      <c r="E30" t="inlineStr">
        <is>
          <t>2090</t>
        </is>
      </c>
      <c r="F30" t="n">
        <v>69</v>
      </c>
      <c r="G30" t="inlineStr">
        <is>
          <t>Meeting NQS</t>
        </is>
      </c>
      <c r="H30" t="inlineStr">
        <is>
          <t>Yes</t>
        </is>
      </c>
      <c r="I30" t="inlineStr">
        <is>
          <t>No</t>
        </is>
      </c>
      <c r="J30" t="inlineStr">
        <is>
          <t>No</t>
        </is>
      </c>
      <c r="K30" s="9" t="n">
        <v>39375</v>
      </c>
      <c r="L30" s="10" t="n">
        <v>0.2916666666666667</v>
      </c>
      <c r="M30" s="10" t="n">
        <v>0.75</v>
      </c>
      <c r="N30">
        <f>IFERROR(VLOOKUP(UPPER(D30),Suburb_LGA_Map!$A:$B,2,FALSE),"")</f>
        <v/>
      </c>
      <c r="O30" s="3" t="n">
        <v>1</v>
      </c>
      <c r="P30">
        <f>IF(K30="",0,IF(K30&gt;=DATE(2021,1,1),1,0))</f>
        <v/>
      </c>
      <c r="Q30">
        <f>IF(L30="",0,IF(L30&lt;TIME(7,0,0),1,0))</f>
        <v/>
      </c>
      <c r="R30">
        <f>IF(M30="",0,IF(M30&gt;TIME(18,0,0),1,0))</f>
        <v/>
      </c>
      <c r="S30">
        <f>IF(AND(H30="Yes",O30=1,COUNTIFS($C$2:C30,C30,$N$2:N30,N30,$H$2:H30,"Yes",$O$2:O30,1)=1),1,0)</f>
        <v/>
      </c>
      <c r="T30">
        <f>SUMIFS($F$2:$F$294,$C$2:$C$294,C30,$N$2:$N$294,N30,$H$2:$H$294,"Yes",$O$2:$O$294,1)</f>
        <v/>
      </c>
    </row>
    <row r="31">
      <c r="A31" t="inlineStr">
        <is>
          <t>SE-00008881</t>
        </is>
      </c>
      <c r="B31" t="inlineStr">
        <is>
          <t>Rosebery Cottage</t>
        </is>
      </c>
      <c r="C31" t="inlineStr">
        <is>
          <t>Wee Watch Pty Ltd</t>
        </is>
      </c>
      <c r="D31" t="inlineStr">
        <is>
          <t>ROSEBERY</t>
        </is>
      </c>
      <c r="E31" t="inlineStr">
        <is>
          <t>2018</t>
        </is>
      </c>
      <c r="F31" t="n">
        <v>35</v>
      </c>
      <c r="G31" t="inlineStr">
        <is>
          <t>Exceeding NQS</t>
        </is>
      </c>
      <c r="H31" t="inlineStr">
        <is>
          <t>Yes</t>
        </is>
      </c>
      <c r="I31" t="inlineStr">
        <is>
          <t>No</t>
        </is>
      </c>
      <c r="J31" t="inlineStr">
        <is>
          <t>No</t>
        </is>
      </c>
      <c r="K31" s="9" t="n">
        <v>39973</v>
      </c>
      <c r="L31" s="10" t="n">
        <v>0.3229166666666667</v>
      </c>
      <c r="M31" s="10" t="n">
        <v>0.7395833333333334</v>
      </c>
      <c r="N31">
        <f>IFERROR(VLOOKUP(UPPER(D31),Suburb_LGA_Map!$A:$B,2,FALSE),"")</f>
        <v/>
      </c>
      <c r="O31" s="3" t="n">
        <v>1</v>
      </c>
      <c r="P31">
        <f>IF(K31="",0,IF(K31&gt;=DATE(2021,1,1),1,0))</f>
        <v/>
      </c>
      <c r="Q31">
        <f>IF(L31="",0,IF(L31&lt;TIME(7,0,0),1,0))</f>
        <v/>
      </c>
      <c r="R31">
        <f>IF(M31="",0,IF(M31&gt;TIME(18,0,0),1,0))</f>
        <v/>
      </c>
      <c r="S31">
        <f>IF(AND(H31="Yes",O31=1,COUNTIFS($C$2:C31,C31,$N$2:N31,N31,$H$2:H31,"Yes",$O$2:O31,1)=1),1,0)</f>
        <v/>
      </c>
      <c r="T31">
        <f>SUMIFS($F$2:$F$294,$C$2:$C$294,C31,$N$2:$N$294,N31,$H$2:$H$294,"Yes",$O$2:$O$294,1)</f>
        <v/>
      </c>
    </row>
    <row r="32">
      <c r="A32" t="inlineStr">
        <is>
          <t>SE-00008887</t>
        </is>
      </c>
      <c r="B32" t="inlineStr">
        <is>
          <t>Roseville Preschool Kindergarten</t>
        </is>
      </c>
      <c r="C32" t="inlineStr">
        <is>
          <t>Eikoh Seminar Australia Pty Limited</t>
        </is>
      </c>
      <c r="D32" t="inlineStr">
        <is>
          <t>ROSEVILLE</t>
        </is>
      </c>
      <c r="E32" t="inlineStr">
        <is>
          <t>2069</t>
        </is>
      </c>
      <c r="F32" t="n">
        <v>40</v>
      </c>
      <c r="G32" t="inlineStr">
        <is>
          <t>Meeting NQS</t>
        </is>
      </c>
      <c r="H32" t="inlineStr">
        <is>
          <t>Yes</t>
        </is>
      </c>
      <c r="I32" t="inlineStr">
        <is>
          <t>Yes</t>
        </is>
      </c>
      <c r="J32" t="inlineStr">
        <is>
          <t>No</t>
        </is>
      </c>
      <c r="K32" s="9" t="n">
        <v>39083</v>
      </c>
      <c r="L32" s="10" t="n">
        <v>0.3333333333333333</v>
      </c>
      <c r="M32" s="10" t="n">
        <v>0.7291666666666666</v>
      </c>
      <c r="N32">
        <f>IFERROR(VLOOKUP(UPPER(D32),Suburb_LGA_Map!$A:$B,2,FALSE),"")</f>
        <v/>
      </c>
      <c r="O32" s="3" t="n">
        <v>1</v>
      </c>
      <c r="P32">
        <f>IF(K32="",0,IF(K32&gt;=DATE(2021,1,1),1,0))</f>
        <v/>
      </c>
      <c r="Q32">
        <f>IF(L32="",0,IF(L32&lt;TIME(7,0,0),1,0))</f>
        <v/>
      </c>
      <c r="R32">
        <f>IF(M32="",0,IF(M32&gt;TIME(18,0,0),1,0))</f>
        <v/>
      </c>
      <c r="S32">
        <f>IF(AND(H32="Yes",O32=1,COUNTIFS($C$2:C32,C32,$N$2:N32,N32,$H$2:H32,"Yes",$O$2:O32,1)=1),1,0)</f>
        <v/>
      </c>
      <c r="T32">
        <f>SUMIFS($F$2:$F$294,$C$2:$C$294,C32,$N$2:$N$294,N32,$H$2:$H$294,"Yes",$O$2:$O$294,1)</f>
        <v/>
      </c>
    </row>
    <row r="33">
      <c r="A33" t="inlineStr">
        <is>
          <t>SE-00017847</t>
        </is>
      </c>
      <c r="B33" t="inlineStr">
        <is>
          <t>Bexley Montessori Academy</t>
        </is>
      </c>
      <c r="C33" t="inlineStr">
        <is>
          <t>MAG NSW CHILDCARES PTY LTD</t>
        </is>
      </c>
      <c r="D33" t="inlineStr">
        <is>
          <t>BEXLEY</t>
        </is>
      </c>
      <c r="E33" t="inlineStr">
        <is>
          <t>2207</t>
        </is>
      </c>
      <c r="F33" t="n">
        <v>76</v>
      </c>
      <c r="G33" t="inlineStr"/>
      <c r="H33" t="inlineStr">
        <is>
          <t>Yes</t>
        </is>
      </c>
      <c r="I33" t="inlineStr">
        <is>
          <t>No</t>
        </is>
      </c>
      <c r="J33" t="inlineStr">
        <is>
          <t>No</t>
        </is>
      </c>
      <c r="K33" s="9" t="n">
        <v>46000</v>
      </c>
      <c r="L33" s="10" t="n">
        <v>0.3125</v>
      </c>
      <c r="M33" s="10" t="n">
        <v>0.75</v>
      </c>
      <c r="N33">
        <f>IFERROR(VLOOKUP(UPPER(D33),Suburb_LGA_Map!$A:$B,2,FALSE),"")</f>
        <v/>
      </c>
      <c r="O33" s="3" t="n">
        <v>1</v>
      </c>
      <c r="P33">
        <f>IF(K33="",0,IF(K33&gt;=DATE(2021,1,1),1,0))</f>
        <v/>
      </c>
      <c r="Q33">
        <f>IF(L33="",0,IF(L33&lt;TIME(7,0,0),1,0))</f>
        <v/>
      </c>
      <c r="R33">
        <f>IF(M33="",0,IF(M33&gt;TIME(18,0,0),1,0))</f>
        <v/>
      </c>
      <c r="S33">
        <f>IF(AND(H33="Yes",O33=1,COUNTIFS($C$2:C33,C33,$N$2:N33,N33,$H$2:H33,"Yes",$O$2:O33,1)=1),1,0)</f>
        <v/>
      </c>
      <c r="T33">
        <f>SUMIFS($F$2:$F$294,$C$2:$C$294,C33,$N$2:$N$294,N33,$H$2:$H$294,"Yes",$O$2:$O$294,1)</f>
        <v/>
      </c>
    </row>
    <row r="34">
      <c r="A34" t="inlineStr">
        <is>
          <t>SE-00018772</t>
        </is>
      </c>
      <c r="B34" t="inlineStr">
        <is>
          <t>KCS OOSH Rockdale</t>
        </is>
      </c>
      <c r="C34" t="inlineStr">
        <is>
          <t>Kogarah Community Services Incorporated</t>
        </is>
      </c>
      <c r="D34" t="inlineStr">
        <is>
          <t>ROCKDALE</t>
        </is>
      </c>
      <c r="E34" t="inlineStr">
        <is>
          <t>2216</t>
        </is>
      </c>
      <c r="F34" t="n">
        <v>62</v>
      </c>
      <c r="G34" t="inlineStr"/>
      <c r="H34" t="inlineStr">
        <is>
          <t>No</t>
        </is>
      </c>
      <c r="I34" t="inlineStr">
        <is>
          <t>No</t>
        </is>
      </c>
      <c r="J34" t="inlineStr">
        <is>
          <t>Yes</t>
        </is>
      </c>
      <c r="K34" s="9" t="n">
        <v>46220</v>
      </c>
      <c r="L34" s="10" t="n"/>
      <c r="M34" s="10" t="n"/>
      <c r="N34">
        <f>IFERROR(VLOOKUP(UPPER(D34),Suburb_LGA_Map!$A:$B,2,FALSE),"")</f>
        <v/>
      </c>
      <c r="O34" s="3" t="n">
        <v>1</v>
      </c>
      <c r="P34">
        <f>IF(K34="",0,IF(K34&gt;=DATE(2021,1,1),1,0))</f>
        <v/>
      </c>
      <c r="Q34">
        <f>IF(L34="",0,IF(L34&lt;TIME(7,0,0),1,0))</f>
        <v/>
      </c>
      <c r="R34">
        <f>IF(M34="",0,IF(M34&gt;TIME(18,0,0),1,0))</f>
        <v/>
      </c>
      <c r="S34">
        <f>IF(AND(H34="Yes",O34=1,COUNTIFS($C$2:C34,C34,$N$2:N34,N34,$H$2:H34,"Yes",$O$2:O34,1)=1),1,0)</f>
        <v/>
      </c>
      <c r="T34">
        <f>SUMIFS($F$2:$F$294,$C$2:$C$294,C34,$N$2:$N$294,N34,$H$2:$H$294,"Yes",$O$2:$O$294,1)</f>
        <v/>
      </c>
    </row>
    <row r="35">
      <c r="A35" t="inlineStr">
        <is>
          <t>SE-00013516</t>
        </is>
      </c>
      <c r="B35" t="inlineStr">
        <is>
          <t>Lindfield Activity Centre</t>
        </is>
      </c>
      <c r="C35" t="inlineStr">
        <is>
          <t>Lindfield Out Of Hours Care Centre Inc</t>
        </is>
      </c>
      <c r="D35" t="inlineStr">
        <is>
          <t>LINDFIELD</t>
        </is>
      </c>
      <c r="E35" t="inlineStr">
        <is>
          <t>2070</t>
        </is>
      </c>
      <c r="F35" t="n">
        <v>155</v>
      </c>
      <c r="G35" t="inlineStr">
        <is>
          <t>Meeting NQS</t>
        </is>
      </c>
      <c r="H35" t="inlineStr">
        <is>
          <t>No</t>
        </is>
      </c>
      <c r="I35" t="inlineStr">
        <is>
          <t>No</t>
        </is>
      </c>
      <c r="J35" t="inlineStr">
        <is>
          <t>Yes</t>
        </is>
      </c>
      <c r="K35" s="9" t="n">
        <v>41543</v>
      </c>
      <c r="L35" s="10" t="n">
        <v>0.3020833333333333</v>
      </c>
      <c r="M35" s="10" t="n">
        <v>0.75</v>
      </c>
      <c r="N35">
        <f>IFERROR(VLOOKUP(UPPER(D35),Suburb_LGA_Map!$A:$B,2,FALSE),"")</f>
        <v/>
      </c>
      <c r="O35" s="3" t="n">
        <v>1</v>
      </c>
      <c r="P35">
        <f>IF(K35="",0,IF(K35&gt;=DATE(2021,1,1),1,0))</f>
        <v/>
      </c>
      <c r="Q35">
        <f>IF(L35="",0,IF(L35&lt;TIME(7,0,0),1,0))</f>
        <v/>
      </c>
      <c r="R35">
        <f>IF(M35="",0,IF(M35&gt;TIME(18,0,0),1,0))</f>
        <v/>
      </c>
      <c r="S35">
        <f>IF(AND(H35="Yes",O35=1,COUNTIFS($C$2:C35,C35,$N$2:N35,N35,$H$2:H35,"Yes",$O$2:O35,1)=1),1,0)</f>
        <v/>
      </c>
      <c r="T35">
        <f>SUMIFS($F$2:$F$294,$C$2:$C$294,C35,$N$2:$N$294,N35,$H$2:$H$294,"Yes",$O$2:$O$294,1)</f>
        <v/>
      </c>
    </row>
    <row r="36">
      <c r="A36" t="inlineStr">
        <is>
          <t>SE-00013583</t>
        </is>
      </c>
      <c r="B36" t="inlineStr">
        <is>
          <t>Bexley North Public School P and C Before and After Child Care Centre</t>
        </is>
      </c>
      <c r="C36" t="inlineStr">
        <is>
          <t>Bexley North Public School Parents &amp; Citizens' Association</t>
        </is>
      </c>
      <c r="D36" t="inlineStr">
        <is>
          <t>BEXLEY NORTH</t>
        </is>
      </c>
      <c r="E36" t="inlineStr">
        <is>
          <t>2207</t>
        </is>
      </c>
      <c r="F36" t="n">
        <v>120</v>
      </c>
      <c r="G36" t="inlineStr">
        <is>
          <t>Meeting NQS</t>
        </is>
      </c>
      <c r="H36" t="inlineStr">
        <is>
          <t>No</t>
        </is>
      </c>
      <c r="I36" t="inlineStr">
        <is>
          <t>No</t>
        </is>
      </c>
      <c r="J36" t="inlineStr">
        <is>
          <t>Yes</t>
        </is>
      </c>
      <c r="K36" s="9" t="n">
        <v>41543</v>
      </c>
      <c r="L36" s="10" t="n"/>
      <c r="M36" s="10" t="n"/>
      <c r="N36">
        <f>IFERROR(VLOOKUP(UPPER(D36),Suburb_LGA_Map!$A:$B,2,FALSE),"")</f>
        <v/>
      </c>
      <c r="O36" s="3" t="n">
        <v>1</v>
      </c>
      <c r="P36">
        <f>IF(K36="",0,IF(K36&gt;=DATE(2021,1,1),1,0))</f>
        <v/>
      </c>
      <c r="Q36">
        <f>IF(L36="",0,IF(L36&lt;TIME(7,0,0),1,0))</f>
        <v/>
      </c>
      <c r="R36">
        <f>IF(M36="",0,IF(M36&gt;TIME(18,0,0),1,0))</f>
        <v/>
      </c>
      <c r="S36">
        <f>IF(AND(H36="Yes",O36=1,COUNTIFS($C$2:C36,C36,$N$2:N36,N36,$H$2:H36,"Yes",$O$2:O36,1)=1),1,0)</f>
        <v/>
      </c>
      <c r="T36">
        <f>SUMIFS($F$2:$F$294,$C$2:$C$294,C36,$N$2:$N$294,N36,$H$2:$H$294,"Yes",$O$2:$O$294,1)</f>
        <v/>
      </c>
    </row>
    <row r="37">
      <c r="A37" t="inlineStr">
        <is>
          <t>SE-00013627</t>
        </is>
      </c>
      <c r="B37" t="inlineStr">
        <is>
          <t>Young Giants St Ives Park</t>
        </is>
      </c>
      <c r="C37" t="inlineStr">
        <is>
          <t>YOUNG GIANTS PTY LTD</t>
        </is>
      </c>
      <c r="D37" t="inlineStr">
        <is>
          <t>ST IVES</t>
        </is>
      </c>
      <c r="E37" t="inlineStr">
        <is>
          <t>2075</t>
        </is>
      </c>
      <c r="F37" t="n">
        <v>43</v>
      </c>
      <c r="G37" t="inlineStr">
        <is>
          <t>Meeting NQS</t>
        </is>
      </c>
      <c r="H37" t="inlineStr">
        <is>
          <t>No</t>
        </is>
      </c>
      <c r="I37" t="inlineStr">
        <is>
          <t>No</t>
        </is>
      </c>
      <c r="J37" t="inlineStr">
        <is>
          <t>Yes</t>
        </is>
      </c>
      <c r="K37" s="9" t="n">
        <v>41596</v>
      </c>
      <c r="L37" s="10" t="n"/>
      <c r="M37" s="10" t="n"/>
      <c r="N37">
        <f>IFERROR(VLOOKUP(UPPER(D37),Suburb_LGA_Map!$A:$B,2,FALSE),"")</f>
        <v/>
      </c>
      <c r="O37" s="3" t="n">
        <v>1</v>
      </c>
      <c r="P37">
        <f>IF(K37="",0,IF(K37&gt;=DATE(2021,1,1),1,0))</f>
        <v/>
      </c>
      <c r="Q37">
        <f>IF(L37="",0,IF(L37&lt;TIME(7,0,0),1,0))</f>
        <v/>
      </c>
      <c r="R37">
        <f>IF(M37="",0,IF(M37&gt;TIME(18,0,0),1,0))</f>
        <v/>
      </c>
      <c r="S37">
        <f>IF(AND(H37="Yes",O37=1,COUNTIFS($C$2:C37,C37,$N$2:N37,N37,$H$2:H37,"Yes",$O$2:O37,1)=1),1,0)</f>
        <v/>
      </c>
      <c r="T37">
        <f>SUMIFS($F$2:$F$294,$C$2:$C$294,C37,$N$2:$N$294,N37,$H$2:$H$294,"Yes",$O$2:$O$294,1)</f>
        <v/>
      </c>
    </row>
    <row r="38">
      <c r="A38" t="inlineStr">
        <is>
          <t>SE-00017239</t>
        </is>
      </c>
      <c r="B38" t="inlineStr">
        <is>
          <t>Sunshine Kidz</t>
        </is>
      </c>
      <c r="C38" t="inlineStr">
        <is>
          <t>ANGELS AT BEVERLY HILLS</t>
        </is>
      </c>
      <c r="D38" t="inlineStr">
        <is>
          <t>BARDWELL PARK</t>
        </is>
      </c>
      <c r="E38" t="inlineStr">
        <is>
          <t>2207</t>
        </is>
      </c>
      <c r="F38" t="n">
        <v>15</v>
      </c>
      <c r="G38" t="inlineStr">
        <is>
          <t>Meeting NQS</t>
        </is>
      </c>
      <c r="H38" t="inlineStr">
        <is>
          <t>No</t>
        </is>
      </c>
      <c r="I38" t="inlineStr">
        <is>
          <t>No</t>
        </is>
      </c>
      <c r="J38" t="inlineStr">
        <is>
          <t>Yes</t>
        </is>
      </c>
      <c r="K38" s="9" t="n">
        <v>45670</v>
      </c>
      <c r="L38" s="10" t="n"/>
      <c r="M38" s="10" t="n"/>
      <c r="N38">
        <f>IFERROR(VLOOKUP(UPPER(D38),Suburb_LGA_Map!$A:$B,2,FALSE),"")</f>
        <v/>
      </c>
      <c r="O38" s="3" t="n">
        <v>1</v>
      </c>
      <c r="P38">
        <f>IF(K38="",0,IF(K38&gt;=DATE(2021,1,1),1,0))</f>
        <v/>
      </c>
      <c r="Q38">
        <f>IF(L38="",0,IF(L38&lt;TIME(7,0,0),1,0))</f>
        <v/>
      </c>
      <c r="R38">
        <f>IF(M38="",0,IF(M38&gt;TIME(18,0,0),1,0))</f>
        <v/>
      </c>
      <c r="S38">
        <f>IF(AND(H38="Yes",O38=1,COUNTIFS($C$2:C38,C38,$N$2:N38,N38,$H$2:H38,"Yes",$O$2:O38,1)=1),1,0)</f>
        <v/>
      </c>
      <c r="T38">
        <f>SUMIFS($F$2:$F$294,$C$2:$C$294,C38,$N$2:$N$294,N38,$H$2:$H$294,"Yes",$O$2:$O$294,1)</f>
        <v/>
      </c>
    </row>
    <row r="39">
      <c r="A39" t="inlineStr">
        <is>
          <t>SE-00017243</t>
        </is>
      </c>
      <c r="B39" t="inlineStr">
        <is>
          <t>Amana OSHC Arkana College</t>
        </is>
      </c>
      <c r="C39" t="inlineStr">
        <is>
          <t>AMANA OSHC PTY LTD</t>
        </is>
      </c>
      <c r="D39" t="inlineStr">
        <is>
          <t>Kingsgrove</t>
        </is>
      </c>
      <c r="E39" t="inlineStr">
        <is>
          <t>2208</t>
        </is>
      </c>
      <c r="F39" t="n">
        <v>50</v>
      </c>
      <c r="G39" t="inlineStr">
        <is>
          <t>Meeting NQS</t>
        </is>
      </c>
      <c r="H39" t="inlineStr">
        <is>
          <t>No</t>
        </is>
      </c>
      <c r="I39" t="inlineStr">
        <is>
          <t>No</t>
        </is>
      </c>
      <c r="J39" t="inlineStr">
        <is>
          <t>Yes</t>
        </is>
      </c>
      <c r="K39" s="9" t="n">
        <v>45686</v>
      </c>
      <c r="L39" s="10" t="n"/>
      <c r="M39" s="10" t="n"/>
      <c r="N39">
        <f>IFERROR(VLOOKUP(UPPER(D39),Suburb_LGA_Map!$A:$B,2,FALSE),"")</f>
        <v/>
      </c>
      <c r="O39" s="3" t="n">
        <v>1</v>
      </c>
      <c r="P39">
        <f>IF(K39="",0,IF(K39&gt;=DATE(2021,1,1),1,0))</f>
        <v/>
      </c>
      <c r="Q39">
        <f>IF(L39="",0,IF(L39&lt;TIME(7,0,0),1,0))</f>
        <v/>
      </c>
      <c r="R39">
        <f>IF(M39="",0,IF(M39&gt;TIME(18,0,0),1,0))</f>
        <v/>
      </c>
      <c r="S39">
        <f>IF(AND(H39="Yes",O39=1,COUNTIFS($C$2:C39,C39,$N$2:N39,N39,$H$2:H39,"Yes",$O$2:O39,1)=1),1,0)</f>
        <v/>
      </c>
      <c r="T39">
        <f>SUMIFS($F$2:$F$294,$C$2:$C$294,C39,$N$2:$N$294,N39,$H$2:$H$294,"Yes",$O$2:$O$294,1)</f>
        <v/>
      </c>
    </row>
    <row r="40">
      <c r="A40" t="inlineStr">
        <is>
          <t>SE-00017253</t>
        </is>
      </c>
      <c r="B40" t="inlineStr">
        <is>
          <t>The After School Klub Athelstane</t>
        </is>
      </c>
      <c r="C40" t="inlineStr">
        <is>
          <t>The After School Klub Pty Ltd</t>
        </is>
      </c>
      <c r="D40" t="inlineStr">
        <is>
          <t>ARNCLIFFE</t>
        </is>
      </c>
      <c r="E40" t="inlineStr">
        <is>
          <t>2205</t>
        </is>
      </c>
      <c r="F40" t="n">
        <v>24</v>
      </c>
      <c r="G40" t="inlineStr">
        <is>
          <t>Meeting NQS</t>
        </is>
      </c>
      <c r="H40" t="inlineStr">
        <is>
          <t>No</t>
        </is>
      </c>
      <c r="I40" t="inlineStr">
        <is>
          <t>No</t>
        </is>
      </c>
      <c r="J40" t="inlineStr">
        <is>
          <t>Yes</t>
        </is>
      </c>
      <c r="K40" s="9" t="n">
        <v>45688</v>
      </c>
      <c r="L40" s="10" t="n"/>
      <c r="M40" s="10" t="n"/>
      <c r="N40">
        <f>IFERROR(VLOOKUP(UPPER(D40),Suburb_LGA_Map!$A:$B,2,FALSE),"")</f>
        <v/>
      </c>
      <c r="O40" s="3" t="n">
        <v>1</v>
      </c>
      <c r="P40">
        <f>IF(K40="",0,IF(K40&gt;=DATE(2021,1,1),1,0))</f>
        <v/>
      </c>
      <c r="Q40">
        <f>IF(L40="",0,IF(L40&lt;TIME(7,0,0),1,0))</f>
        <v/>
      </c>
      <c r="R40">
        <f>IF(M40="",0,IF(M40&gt;TIME(18,0,0),1,0))</f>
        <v/>
      </c>
      <c r="S40">
        <f>IF(AND(H40="Yes",O40=1,COUNTIFS($C$2:C40,C40,$N$2:N40,N40,$H$2:H40,"Yes",$O$2:O40,1)=1),1,0)</f>
        <v/>
      </c>
      <c r="T40">
        <f>SUMIFS($F$2:$F$294,$C$2:$C$294,C40,$N$2:$N$294,N40,$H$2:$H$294,"Yes",$O$2:$O$294,1)</f>
        <v/>
      </c>
    </row>
    <row r="41">
      <c r="A41" t="inlineStr">
        <is>
          <t>SE-00017260</t>
        </is>
      </c>
      <c r="B41" t="inlineStr">
        <is>
          <t>SCECS OSHC St Joseph's Rockdale</t>
        </is>
      </c>
      <c r="C41" t="inlineStr">
        <is>
          <t>SYDNEY CATHOLIC EARLY CHILDHOOD SERVICES LTD</t>
        </is>
      </c>
      <c r="D41" t="inlineStr">
        <is>
          <t>Rockdale</t>
        </is>
      </c>
      <c r="E41" t="inlineStr">
        <is>
          <t>2216</t>
        </is>
      </c>
      <c r="F41" t="n">
        <v>75</v>
      </c>
      <c r="G41" t="inlineStr">
        <is>
          <t>Meeting NQS</t>
        </is>
      </c>
      <c r="H41" t="inlineStr">
        <is>
          <t>No</t>
        </is>
      </c>
      <c r="I41" t="inlineStr">
        <is>
          <t>No</t>
        </is>
      </c>
      <c r="J41" t="inlineStr">
        <is>
          <t>Yes</t>
        </is>
      </c>
      <c r="K41" s="9" t="n">
        <v>45691</v>
      </c>
      <c r="L41" s="10" t="n"/>
      <c r="M41" s="10" t="n"/>
      <c r="N41">
        <f>IFERROR(VLOOKUP(UPPER(D41),Suburb_LGA_Map!$A:$B,2,FALSE),"")</f>
        <v/>
      </c>
      <c r="O41" s="3" t="n">
        <v>1</v>
      </c>
      <c r="P41">
        <f>IF(K41="",0,IF(K41&gt;=DATE(2021,1,1),1,0))</f>
        <v/>
      </c>
      <c r="Q41">
        <f>IF(L41="",0,IF(L41&lt;TIME(7,0,0),1,0))</f>
        <v/>
      </c>
      <c r="R41">
        <f>IF(M41="",0,IF(M41&gt;TIME(18,0,0),1,0))</f>
        <v/>
      </c>
      <c r="S41">
        <f>IF(AND(H41="Yes",O41=1,COUNTIFS($C$2:C41,C41,$N$2:N41,N41,$H$2:H41,"Yes",$O$2:O41,1)=1),1,0)</f>
        <v/>
      </c>
      <c r="T41">
        <f>SUMIFS($F$2:$F$294,$C$2:$C$294,C41,$N$2:$N$294,N41,$H$2:$H$294,"Yes",$O$2:$O$294,1)</f>
        <v/>
      </c>
    </row>
    <row r="42">
      <c r="A42" t="inlineStr">
        <is>
          <t>SE-00017292</t>
        </is>
      </c>
      <c r="B42" t="inlineStr">
        <is>
          <t>Little Scribblers Brighton Le Sands</t>
        </is>
      </c>
      <c r="C42" t="inlineStr">
        <is>
          <t>LITTLE SCRIBBLERS BRIGHTON-LE-SANDS PTY LTD</t>
        </is>
      </c>
      <c r="D42" t="inlineStr">
        <is>
          <t>BRIGHTON-LE-SANDS</t>
        </is>
      </c>
      <c r="E42" t="inlineStr">
        <is>
          <t>2216</t>
        </is>
      </c>
      <c r="F42" t="n">
        <v>73</v>
      </c>
      <c r="G42" t="inlineStr">
        <is>
          <t>Meeting NQS</t>
        </is>
      </c>
      <c r="H42" t="inlineStr">
        <is>
          <t>Yes</t>
        </is>
      </c>
      <c r="I42" t="inlineStr">
        <is>
          <t>No</t>
        </is>
      </c>
      <c r="J42" t="inlineStr">
        <is>
          <t>No</t>
        </is>
      </c>
      <c r="K42" s="9" t="n">
        <v>45793</v>
      </c>
      <c r="L42" s="10" t="n">
        <v>0.2916666666666667</v>
      </c>
      <c r="M42" s="10" t="n">
        <v>0.75</v>
      </c>
      <c r="N42">
        <f>IFERROR(VLOOKUP(UPPER(D42),Suburb_LGA_Map!$A:$B,2,FALSE),"")</f>
        <v/>
      </c>
      <c r="O42" s="3" t="n">
        <v>1</v>
      </c>
      <c r="P42">
        <f>IF(K42="",0,IF(K42&gt;=DATE(2021,1,1),1,0))</f>
        <v/>
      </c>
      <c r="Q42">
        <f>IF(L42="",0,IF(L42&lt;TIME(7,0,0),1,0))</f>
        <v/>
      </c>
      <c r="R42">
        <f>IF(M42="",0,IF(M42&gt;TIME(18,0,0),1,0))</f>
        <v/>
      </c>
      <c r="S42">
        <f>IF(AND(H42="Yes",O42=1,COUNTIFS($C$2:C42,C42,$N$2:N42,N42,$H$2:H42,"Yes",$O$2:O42,1)=1),1,0)</f>
        <v/>
      </c>
      <c r="T42">
        <f>SUMIFS($F$2:$F$294,$C$2:$C$294,C42,$N$2:$N$294,N42,$H$2:$H$294,"Yes",$O$2:$O$294,1)</f>
        <v/>
      </c>
    </row>
    <row r="43">
      <c r="A43" t="inlineStr">
        <is>
          <t>SE-00017338</t>
        </is>
      </c>
      <c r="B43" t="inlineStr">
        <is>
          <t>Little Endeavours Early Learning Centre</t>
        </is>
      </c>
      <c r="C43" t="inlineStr">
        <is>
          <t>LEELC ARNCLIFFE PTY LTD</t>
        </is>
      </c>
      <c r="D43" t="inlineStr">
        <is>
          <t>ARNCLIFFE</t>
        </is>
      </c>
      <c r="E43" t="inlineStr">
        <is>
          <t>2205</t>
        </is>
      </c>
      <c r="F43" t="n">
        <v>50</v>
      </c>
      <c r="G43" t="inlineStr"/>
      <c r="H43" t="inlineStr">
        <is>
          <t>Yes</t>
        </is>
      </c>
      <c r="I43" t="inlineStr">
        <is>
          <t>No</t>
        </is>
      </c>
      <c r="J43" t="inlineStr">
        <is>
          <t>No</t>
        </is>
      </c>
      <c r="K43" s="9" t="n">
        <v>45828</v>
      </c>
      <c r="L43" s="10" t="n">
        <v>0.2916666666666667</v>
      </c>
      <c r="M43" s="10" t="n">
        <v>0.75</v>
      </c>
      <c r="N43">
        <f>IFERROR(VLOOKUP(UPPER(D43),Suburb_LGA_Map!$A:$B,2,FALSE),"")</f>
        <v/>
      </c>
      <c r="O43" s="3" t="n">
        <v>1</v>
      </c>
      <c r="P43">
        <f>IF(K43="",0,IF(K43&gt;=DATE(2021,1,1),1,0))</f>
        <v/>
      </c>
      <c r="Q43">
        <f>IF(L43="",0,IF(L43&lt;TIME(7,0,0),1,0))</f>
        <v/>
      </c>
      <c r="R43">
        <f>IF(M43="",0,IF(M43&gt;TIME(18,0,0),1,0))</f>
        <v/>
      </c>
      <c r="S43">
        <f>IF(AND(H43="Yes",O43=1,COUNTIFS($C$2:C43,C43,$N$2:N43,N43,$H$2:H43,"Yes",$O$2:O43,1)=1),1,0)</f>
        <v/>
      </c>
      <c r="T43">
        <f>SUMIFS($F$2:$F$294,$C$2:$C$294,C43,$N$2:$N$294,N43,$H$2:$H$294,"Yes",$O$2:$O$294,1)</f>
        <v/>
      </c>
    </row>
    <row r="44">
      <c r="A44" t="inlineStr">
        <is>
          <t>SE-40021539</t>
        </is>
      </c>
      <c r="B44" t="inlineStr">
        <is>
          <t>St Joseph's Preschool and Long Day Care Service Rosebery</t>
        </is>
      </c>
      <c r="C44" t="inlineStr">
        <is>
          <t>SYDNEY CATHOLIC EARLY CHILDHOOD SERVICES LTD</t>
        </is>
      </c>
      <c r="D44" t="inlineStr">
        <is>
          <t>ROSEBERY</t>
        </is>
      </c>
      <c r="E44" t="inlineStr">
        <is>
          <t>2018</t>
        </is>
      </c>
      <c r="F44" t="n">
        <v>62</v>
      </c>
      <c r="G44" t="inlineStr">
        <is>
          <t>Meeting NQS</t>
        </is>
      </c>
      <c r="H44" t="inlineStr">
        <is>
          <t>Yes</t>
        </is>
      </c>
      <c r="I44" t="inlineStr">
        <is>
          <t>No</t>
        </is>
      </c>
      <c r="J44" t="inlineStr">
        <is>
          <t>No</t>
        </is>
      </c>
      <c r="K44" s="9" t="n">
        <v>44572</v>
      </c>
      <c r="L44" s="10" t="n">
        <v>0.2916666666666667</v>
      </c>
      <c r="M44" s="10" t="n">
        <v>0.75</v>
      </c>
      <c r="N44">
        <f>IFERROR(VLOOKUP(UPPER(D44),Suburb_LGA_Map!$A:$B,2,FALSE),"")</f>
        <v/>
      </c>
      <c r="O44" s="3" t="n">
        <v>1</v>
      </c>
      <c r="P44">
        <f>IF(K44="",0,IF(K44&gt;=DATE(2021,1,1),1,0))</f>
        <v/>
      </c>
      <c r="Q44">
        <f>IF(L44="",0,IF(L44&lt;TIME(7,0,0),1,0))</f>
        <v/>
      </c>
      <c r="R44">
        <f>IF(M44="",0,IF(M44&gt;TIME(18,0,0),1,0))</f>
        <v/>
      </c>
      <c r="S44">
        <f>IF(AND(H44="Yes",O44=1,COUNTIFS($C$2:C44,C44,$N$2:N44,N44,$H$2:H44,"Yes",$O$2:O44,1)=1),1,0)</f>
        <v/>
      </c>
      <c r="T44">
        <f>SUMIFS($F$2:$F$294,$C$2:$C$294,C44,$N$2:$N$294,N44,$H$2:$H$294,"Yes",$O$2:$O$294,1)</f>
        <v/>
      </c>
    </row>
    <row r="45">
      <c r="A45" t="inlineStr">
        <is>
          <t>SE-40021623</t>
        </is>
      </c>
      <c r="B45" t="inlineStr">
        <is>
          <t>Bright Sunshine Children Centre</t>
        </is>
      </c>
      <c r="C45" t="inlineStr"/>
      <c r="D45" t="inlineStr">
        <is>
          <t>BEXLEY</t>
        </is>
      </c>
      <c r="E45" t="inlineStr">
        <is>
          <t>2207</t>
        </is>
      </c>
      <c r="F45" t="n">
        <v>32</v>
      </c>
      <c r="G45" t="inlineStr">
        <is>
          <t>Meeting NQS</t>
        </is>
      </c>
      <c r="H45" t="inlineStr">
        <is>
          <t>Yes</t>
        </is>
      </c>
      <c r="I45" t="inlineStr">
        <is>
          <t>No</t>
        </is>
      </c>
      <c r="J45" t="inlineStr">
        <is>
          <t>No</t>
        </is>
      </c>
      <c r="K45" s="9" t="n">
        <v>44497</v>
      </c>
      <c r="L45" s="10" t="n">
        <v>0.3125</v>
      </c>
      <c r="M45" s="10" t="n">
        <v>0.75</v>
      </c>
      <c r="N45">
        <f>IFERROR(VLOOKUP(UPPER(D45),Suburb_LGA_Map!$A:$B,2,FALSE),"")</f>
        <v/>
      </c>
      <c r="O45" s="3" t="n">
        <v>1</v>
      </c>
      <c r="P45">
        <f>IF(K45="",0,IF(K45&gt;=DATE(2021,1,1),1,0))</f>
        <v/>
      </c>
      <c r="Q45">
        <f>IF(L45="",0,IF(L45&lt;TIME(7,0,0),1,0))</f>
        <v/>
      </c>
      <c r="R45">
        <f>IF(M45="",0,IF(M45&gt;TIME(18,0,0),1,0))</f>
        <v/>
      </c>
      <c r="S45">
        <f>IF(AND(H45="Yes",O45=1,COUNTIFS($C$2:C45,C45,$N$2:N45,N45,$H$2:H45,"Yes",$O$2:O45,1)=1),1,0)</f>
        <v/>
      </c>
      <c r="T45">
        <f>SUMIFS($F$2:$F$294,$C$2:$C$294,C45,$N$2:$N$294,N45,$H$2:$H$294,"Yes",$O$2:$O$294,1)</f>
        <v/>
      </c>
    </row>
    <row r="46">
      <c r="A46" t="inlineStr">
        <is>
          <t>SE-40002060</t>
        </is>
      </c>
      <c r="B46" t="inlineStr">
        <is>
          <t>Redlands Cremorne CommunityOSH</t>
        </is>
      </c>
      <c r="C46" t="inlineStr">
        <is>
          <t>COMMUNITYOSH PTY LTD</t>
        </is>
      </c>
      <c r="D46" t="inlineStr">
        <is>
          <t>CREMORNE</t>
        </is>
      </c>
      <c r="E46" t="inlineStr">
        <is>
          <t>2090</t>
        </is>
      </c>
      <c r="F46" t="n">
        <v>100</v>
      </c>
      <c r="G46" t="inlineStr">
        <is>
          <t>Meeting NQS</t>
        </is>
      </c>
      <c r="H46" t="inlineStr">
        <is>
          <t>No</t>
        </is>
      </c>
      <c r="I46" t="inlineStr">
        <is>
          <t>No</t>
        </is>
      </c>
      <c r="J46" t="inlineStr">
        <is>
          <t>Yes</t>
        </is>
      </c>
      <c r="K46" s="9" t="n">
        <v>41768</v>
      </c>
      <c r="L46" s="10" t="n"/>
      <c r="M46" s="10" t="n"/>
      <c r="N46">
        <f>IFERROR(VLOOKUP(UPPER(D46),Suburb_LGA_Map!$A:$B,2,FALSE),"")</f>
        <v/>
      </c>
      <c r="O46" s="3" t="n">
        <v>1</v>
      </c>
      <c r="P46">
        <f>IF(K46="",0,IF(K46&gt;=DATE(2021,1,1),1,0))</f>
        <v/>
      </c>
      <c r="Q46">
        <f>IF(L46="",0,IF(L46&lt;TIME(7,0,0),1,0))</f>
        <v/>
      </c>
      <c r="R46">
        <f>IF(M46="",0,IF(M46&gt;TIME(18,0,0),1,0))</f>
        <v/>
      </c>
      <c r="S46">
        <f>IF(AND(H46="Yes",O46=1,COUNTIFS($C$2:C46,C46,$N$2:N46,N46,$H$2:H46,"Yes",$O$2:O46,1)=1),1,0)</f>
        <v/>
      </c>
      <c r="T46">
        <f>SUMIFS($F$2:$F$294,$C$2:$C$294,C46,$N$2:$N$294,N46,$H$2:$H$294,"Yes",$O$2:$O$294,1)</f>
        <v/>
      </c>
    </row>
    <row r="47">
      <c r="A47" t="inlineStr">
        <is>
          <t>SE-00008243</t>
        </is>
      </c>
      <c r="B47" t="inlineStr">
        <is>
          <t>Little Sails Pre-School</t>
        </is>
      </c>
      <c r="C47" t="inlineStr">
        <is>
          <t>Kindy Kidz Pty Ltd</t>
        </is>
      </c>
      <c r="D47" t="inlineStr">
        <is>
          <t>BRIGHTON-LE-SANDS</t>
        </is>
      </c>
      <c r="E47" t="inlineStr">
        <is>
          <t>2216</t>
        </is>
      </c>
      <c r="F47" t="n">
        <v>50</v>
      </c>
      <c r="G47" t="inlineStr">
        <is>
          <t>Meeting NQS</t>
        </is>
      </c>
      <c r="H47" t="inlineStr">
        <is>
          <t>Yes</t>
        </is>
      </c>
      <c r="I47" t="inlineStr">
        <is>
          <t>Yes</t>
        </is>
      </c>
      <c r="J47" t="inlineStr">
        <is>
          <t>No</t>
        </is>
      </c>
      <c r="K47" s="9" t="n">
        <v>39170</v>
      </c>
      <c r="L47" s="10" t="n">
        <v>0.3125</v>
      </c>
      <c r="M47" s="10" t="n">
        <v>0.7291666666666666</v>
      </c>
      <c r="N47">
        <f>IFERROR(VLOOKUP(UPPER(D47),Suburb_LGA_Map!$A:$B,2,FALSE),"")</f>
        <v/>
      </c>
      <c r="O47" s="3" t="n">
        <v>1</v>
      </c>
      <c r="P47">
        <f>IF(K47="",0,IF(K47&gt;=DATE(2021,1,1),1,0))</f>
        <v/>
      </c>
      <c r="Q47">
        <f>IF(L47="",0,IF(L47&lt;TIME(7,0,0),1,0))</f>
        <v/>
      </c>
      <c r="R47">
        <f>IF(M47="",0,IF(M47&gt;TIME(18,0,0),1,0))</f>
        <v/>
      </c>
      <c r="S47">
        <f>IF(AND(H47="Yes",O47=1,COUNTIFS($C$2:C47,C47,$N$2:N47,N47,$H$2:H47,"Yes",$O$2:O47,1)=1),1,0)</f>
        <v/>
      </c>
      <c r="T47">
        <f>SUMIFS($F$2:$F$294,$C$2:$C$294,C47,$N$2:$N$294,N47,$H$2:$H$294,"Yes",$O$2:$O$294,1)</f>
        <v/>
      </c>
    </row>
    <row r="48">
      <c r="A48" t="inlineStr">
        <is>
          <t>SE-00008283</t>
        </is>
      </c>
      <c r="B48" t="inlineStr">
        <is>
          <t>Bexley Preparatory Early Learning Centre</t>
        </is>
      </c>
      <c r="C48" t="inlineStr">
        <is>
          <t>Sydney Childcare Group Pty Ltd</t>
        </is>
      </c>
      <c r="D48" t="inlineStr">
        <is>
          <t>BEXLEY</t>
        </is>
      </c>
      <c r="E48" t="inlineStr">
        <is>
          <t>2207</t>
        </is>
      </c>
      <c r="F48" t="n">
        <v>16</v>
      </c>
      <c r="G48" t="inlineStr">
        <is>
          <t>Meeting NQS</t>
        </is>
      </c>
      <c r="H48" t="inlineStr">
        <is>
          <t>Yes</t>
        </is>
      </c>
      <c r="I48" t="inlineStr">
        <is>
          <t>No</t>
        </is>
      </c>
      <c r="J48" t="inlineStr">
        <is>
          <t>No</t>
        </is>
      </c>
      <c r="K48" s="9" t="n">
        <v>39759</v>
      </c>
      <c r="L48" s="10" t="n">
        <v>0.3125</v>
      </c>
      <c r="M48" s="10" t="n">
        <v>0.7291666666666666</v>
      </c>
      <c r="N48">
        <f>IFERROR(VLOOKUP(UPPER(D48),Suburb_LGA_Map!$A:$B,2,FALSE),"")</f>
        <v/>
      </c>
      <c r="O48" s="3" t="n">
        <v>1</v>
      </c>
      <c r="P48">
        <f>IF(K48="",0,IF(K48&gt;=DATE(2021,1,1),1,0))</f>
        <v/>
      </c>
      <c r="Q48">
        <f>IF(L48="",0,IF(L48&lt;TIME(7,0,0),1,0))</f>
        <v/>
      </c>
      <c r="R48">
        <f>IF(M48="",0,IF(M48&gt;TIME(18,0,0),1,0))</f>
        <v/>
      </c>
      <c r="S48">
        <f>IF(AND(H48="Yes",O48=1,COUNTIFS($C$2:C48,C48,$N$2:N48,N48,$H$2:H48,"Yes",$O$2:O48,1)=1),1,0)</f>
        <v/>
      </c>
      <c r="T48">
        <f>SUMIFS($F$2:$F$294,$C$2:$C$294,C48,$N$2:$N$294,N48,$H$2:$H$294,"Yes",$O$2:$O$294,1)</f>
        <v/>
      </c>
    </row>
    <row r="49">
      <c r="A49" t="inlineStr">
        <is>
          <t>SE-40030349</t>
        </is>
      </c>
      <c r="B49" t="inlineStr">
        <is>
          <t>Kinderoos Arncliffe Preschool Campus</t>
        </is>
      </c>
      <c r="C49" t="inlineStr">
        <is>
          <t>Kinderoos Australia PTY LTD</t>
        </is>
      </c>
      <c r="D49" t="inlineStr">
        <is>
          <t>ARNCLIFFE</t>
        </is>
      </c>
      <c r="E49" t="inlineStr">
        <is>
          <t>2205</t>
        </is>
      </c>
      <c r="F49" t="n">
        <v>40</v>
      </c>
      <c r="G49" t="inlineStr">
        <is>
          <t>Meeting NQS</t>
        </is>
      </c>
      <c r="H49" t="inlineStr">
        <is>
          <t>Yes</t>
        </is>
      </c>
      <c r="I49" t="inlineStr">
        <is>
          <t>No</t>
        </is>
      </c>
      <c r="J49" t="inlineStr">
        <is>
          <t>No</t>
        </is>
      </c>
      <c r="K49" s="9" t="n">
        <v>45484</v>
      </c>
      <c r="L49" s="10" t="n">
        <v>0.3125</v>
      </c>
      <c r="M49" s="10" t="n">
        <v>0.75</v>
      </c>
      <c r="N49">
        <f>IFERROR(VLOOKUP(UPPER(D49),Suburb_LGA_Map!$A:$B,2,FALSE),"")</f>
        <v/>
      </c>
      <c r="O49" s="3" t="n">
        <v>1</v>
      </c>
      <c r="P49">
        <f>IF(K49="",0,IF(K49&gt;=DATE(2021,1,1),1,0))</f>
        <v/>
      </c>
      <c r="Q49">
        <f>IF(L49="",0,IF(L49&lt;TIME(7,0,0),1,0))</f>
        <v/>
      </c>
      <c r="R49">
        <f>IF(M49="",0,IF(M49&gt;TIME(18,0,0),1,0))</f>
        <v/>
      </c>
      <c r="S49">
        <f>IF(AND(H49="Yes",O49=1,COUNTIFS($C$2:C49,C49,$N$2:N49,N49,$H$2:H49,"Yes",$O$2:O49,1)=1),1,0)</f>
        <v/>
      </c>
      <c r="T49">
        <f>SUMIFS($F$2:$F$294,$C$2:$C$294,C49,$N$2:$N$294,N49,$H$2:$H$294,"Yes",$O$2:$O$294,1)</f>
        <v/>
      </c>
    </row>
    <row r="50">
      <c r="A50" t="inlineStr">
        <is>
          <t>SE-40011946</t>
        </is>
      </c>
      <c r="B50" t="inlineStr">
        <is>
          <t>Growing Patch Early Learning Centre</t>
        </is>
      </c>
      <c r="C50" t="inlineStr">
        <is>
          <t>Growing Patch Early Learning Centre Pty Ltd</t>
        </is>
      </c>
      <c r="D50" t="inlineStr">
        <is>
          <t>BEXLEY</t>
        </is>
      </c>
      <c r="E50" t="inlineStr">
        <is>
          <t>2207</t>
        </is>
      </c>
      <c r="F50" t="n">
        <v>60</v>
      </c>
      <c r="G50" t="inlineStr">
        <is>
          <t>Meeting NQS</t>
        </is>
      </c>
      <c r="H50" t="inlineStr">
        <is>
          <t>Yes</t>
        </is>
      </c>
      <c r="I50" t="inlineStr">
        <is>
          <t>No</t>
        </is>
      </c>
      <c r="J50" t="inlineStr">
        <is>
          <t>No</t>
        </is>
      </c>
      <c r="K50" s="9" t="n">
        <v>43161</v>
      </c>
      <c r="L50" s="10" t="n">
        <v>0.3125</v>
      </c>
      <c r="M50" s="10" t="n">
        <v>0.75</v>
      </c>
      <c r="N50">
        <f>IFERROR(VLOOKUP(UPPER(D50),Suburb_LGA_Map!$A:$B,2,FALSE),"")</f>
        <v/>
      </c>
      <c r="O50" s="3" t="n">
        <v>1</v>
      </c>
      <c r="P50">
        <f>IF(K50="",0,IF(K50&gt;=DATE(2021,1,1),1,0))</f>
        <v/>
      </c>
      <c r="Q50">
        <f>IF(L50="",0,IF(L50&lt;TIME(7,0,0),1,0))</f>
        <v/>
      </c>
      <c r="R50">
        <f>IF(M50="",0,IF(M50&gt;TIME(18,0,0),1,0))</f>
        <v/>
      </c>
      <c r="S50">
        <f>IF(AND(H50="Yes",O50=1,COUNTIFS($C$2:C50,C50,$N$2:N50,N50,$H$2:H50,"Yes",$O$2:O50,1)=1),1,0)</f>
        <v/>
      </c>
      <c r="T50">
        <f>SUMIFS($F$2:$F$294,$C$2:$C$294,C50,$N$2:$N$294,N50,$H$2:$H$294,"Yes",$O$2:$O$294,1)</f>
        <v/>
      </c>
    </row>
    <row r="51">
      <c r="A51" t="inlineStr">
        <is>
          <t>SE-40025294</t>
        </is>
      </c>
      <c r="B51" t="inlineStr">
        <is>
          <t>Heritage House Wahroonga Early Education Centre</t>
        </is>
      </c>
      <c r="C51" t="inlineStr">
        <is>
          <t>HH EARLY LEARNING PTY LTD</t>
        </is>
      </c>
      <c r="D51" t="inlineStr">
        <is>
          <t>WAHROONGA</t>
        </is>
      </c>
      <c r="E51" t="inlineStr">
        <is>
          <t>2076</t>
        </is>
      </c>
      <c r="F51" t="n">
        <v>89</v>
      </c>
      <c r="G51" t="inlineStr">
        <is>
          <t>Meeting NQS</t>
        </is>
      </c>
      <c r="H51" t="inlineStr">
        <is>
          <t>Yes</t>
        </is>
      </c>
      <c r="I51" t="inlineStr">
        <is>
          <t>No</t>
        </is>
      </c>
      <c r="J51" t="inlineStr">
        <is>
          <t>No</t>
        </is>
      </c>
      <c r="K51" s="9" t="n">
        <v>44957</v>
      </c>
      <c r="L51" s="10" t="n">
        <v>0.3125</v>
      </c>
      <c r="M51" s="10" t="n">
        <v>0.75</v>
      </c>
      <c r="N51">
        <f>IFERROR(VLOOKUP(UPPER(D51),Suburb_LGA_Map!$A:$B,2,FALSE),"")</f>
        <v/>
      </c>
      <c r="O51" s="3" t="n">
        <v>1</v>
      </c>
      <c r="P51">
        <f>IF(K51="",0,IF(K51&gt;=DATE(2021,1,1),1,0))</f>
        <v/>
      </c>
      <c r="Q51">
        <f>IF(L51="",0,IF(L51&lt;TIME(7,0,0),1,0))</f>
        <v/>
      </c>
      <c r="R51">
        <f>IF(M51="",0,IF(M51&gt;TIME(18,0,0),1,0))</f>
        <v/>
      </c>
      <c r="S51">
        <f>IF(AND(H51="Yes",O51=1,COUNTIFS($C$2:C51,C51,$N$2:N51,N51,$H$2:H51,"Yes",$O$2:O51,1)=1),1,0)</f>
        <v/>
      </c>
      <c r="T51">
        <f>SUMIFS($F$2:$F$294,$C$2:$C$294,C51,$N$2:$N$294,N51,$H$2:$H$294,"Yes",$O$2:$O$294,1)</f>
        <v/>
      </c>
    </row>
    <row r="52">
      <c r="A52" t="inlineStr">
        <is>
          <t>SE-40025474</t>
        </is>
      </c>
      <c r="B52" t="inlineStr">
        <is>
          <t>Cameragal Montessori School</t>
        </is>
      </c>
      <c r="C52" t="inlineStr">
        <is>
          <t>Cameragal Montessori School</t>
        </is>
      </c>
      <c r="D52" t="inlineStr">
        <is>
          <t>NORTH SYDNEY</t>
        </is>
      </c>
      <c r="E52" t="inlineStr">
        <is>
          <t>2060</t>
        </is>
      </c>
      <c r="F52" t="n">
        <v>31</v>
      </c>
      <c r="G52" t="inlineStr">
        <is>
          <t>Meeting NQS</t>
        </is>
      </c>
      <c r="H52" t="inlineStr">
        <is>
          <t>No</t>
        </is>
      </c>
      <c r="I52" t="inlineStr">
        <is>
          <t>Yes</t>
        </is>
      </c>
      <c r="J52" t="inlineStr">
        <is>
          <t>Yes</t>
        </is>
      </c>
      <c r="K52" s="9" t="n">
        <v>45204</v>
      </c>
      <c r="L52" s="10" t="n"/>
      <c r="M52" s="10" t="n"/>
      <c r="N52">
        <f>IFERROR(VLOOKUP(UPPER(D52),Suburb_LGA_Map!$A:$B,2,FALSE),"")</f>
        <v/>
      </c>
      <c r="O52" s="3" t="n">
        <v>1</v>
      </c>
      <c r="P52">
        <f>IF(K52="",0,IF(K52&gt;=DATE(2021,1,1),1,0))</f>
        <v/>
      </c>
      <c r="Q52">
        <f>IF(L52="",0,IF(L52&lt;TIME(7,0,0),1,0))</f>
        <v/>
      </c>
      <c r="R52">
        <f>IF(M52="",0,IF(M52&gt;TIME(18,0,0),1,0))</f>
        <v/>
      </c>
      <c r="S52">
        <f>IF(AND(H52="Yes",O52=1,COUNTIFS($C$2:C52,C52,$N$2:N52,N52,$H$2:H52,"Yes",$O$2:O52,1)=1),1,0)</f>
        <v/>
      </c>
      <c r="T52">
        <f>SUMIFS($F$2:$F$294,$C$2:$C$294,C52,$N$2:$N$294,N52,$H$2:$H$294,"Yes",$O$2:$O$294,1)</f>
        <v/>
      </c>
    </row>
    <row r="53">
      <c r="A53" t="inlineStr">
        <is>
          <t>SE-00007154</t>
        </is>
      </c>
      <c r="B53" t="inlineStr">
        <is>
          <t>East Lindfield Community Preschool</t>
        </is>
      </c>
      <c r="C53" t="inlineStr">
        <is>
          <t>East Lindfield Community Pre School Inc</t>
        </is>
      </c>
      <c r="D53" t="inlineStr">
        <is>
          <t>LINDFIELD</t>
        </is>
      </c>
      <c r="E53" t="inlineStr">
        <is>
          <t>2070</t>
        </is>
      </c>
      <c r="F53" t="n">
        <v>56</v>
      </c>
      <c r="G53" t="inlineStr">
        <is>
          <t>Meeting NQS</t>
        </is>
      </c>
      <c r="H53" t="inlineStr">
        <is>
          <t>No</t>
        </is>
      </c>
      <c r="I53" t="inlineStr">
        <is>
          <t>Yes</t>
        </is>
      </c>
      <c r="J53" t="inlineStr">
        <is>
          <t>No</t>
        </is>
      </c>
      <c r="K53" s="9" t="n">
        <v>39794</v>
      </c>
      <c r="L53" s="10" t="n">
        <v>0.3125</v>
      </c>
      <c r="M53" s="10" t="n">
        <v>0.6458333333333334</v>
      </c>
      <c r="N53">
        <f>IFERROR(VLOOKUP(UPPER(D53),Suburb_LGA_Map!$A:$B,2,FALSE),"")</f>
        <v/>
      </c>
      <c r="O53" s="3" t="n">
        <v>1</v>
      </c>
      <c r="P53">
        <f>IF(K53="",0,IF(K53&gt;=DATE(2021,1,1),1,0))</f>
        <v/>
      </c>
      <c r="Q53">
        <f>IF(L53="",0,IF(L53&lt;TIME(7,0,0),1,0))</f>
        <v/>
      </c>
      <c r="R53">
        <f>IF(M53="",0,IF(M53&gt;TIME(18,0,0),1,0))</f>
        <v/>
      </c>
      <c r="S53">
        <f>IF(AND(H53="Yes",O53=1,COUNTIFS($C$2:C53,C53,$N$2:N53,N53,$H$2:H53,"Yes",$O$2:O53,1)=1),1,0)</f>
        <v/>
      </c>
      <c r="T53">
        <f>SUMIFS($F$2:$F$294,$C$2:$C$294,C53,$N$2:$N$294,N53,$H$2:$H$294,"Yes",$O$2:$O$294,1)</f>
        <v/>
      </c>
    </row>
    <row r="54">
      <c r="A54" t="inlineStr">
        <is>
          <t>SE-00007160</t>
        </is>
      </c>
      <c r="B54" t="inlineStr">
        <is>
          <t>Eastgardens Kindy</t>
        </is>
      </c>
      <c r="C54" t="inlineStr">
        <is>
          <t>YOUTALK EDUCATION GROUP PTY LTD</t>
        </is>
      </c>
      <c r="D54" t="inlineStr">
        <is>
          <t>PAGEWOOD</t>
        </is>
      </c>
      <c r="E54" t="inlineStr">
        <is>
          <t>2035</t>
        </is>
      </c>
      <c r="F54" t="n">
        <v>50</v>
      </c>
      <c r="G54" t="inlineStr">
        <is>
          <t>Meeting NQS</t>
        </is>
      </c>
      <c r="H54" t="inlineStr">
        <is>
          <t>Yes</t>
        </is>
      </c>
      <c r="I54" t="inlineStr">
        <is>
          <t>No</t>
        </is>
      </c>
      <c r="J54" t="inlineStr">
        <is>
          <t>No</t>
        </is>
      </c>
      <c r="K54" s="9" t="n">
        <v>39909</v>
      </c>
      <c r="L54" s="10" t="n">
        <v>0.3125</v>
      </c>
      <c r="M54" s="10" t="n">
        <v>0.75</v>
      </c>
      <c r="N54">
        <f>IFERROR(VLOOKUP(UPPER(D54),Suburb_LGA_Map!$A:$B,2,FALSE),"")</f>
        <v/>
      </c>
      <c r="O54" s="3" t="n">
        <v>1</v>
      </c>
      <c r="P54">
        <f>IF(K54="",0,IF(K54&gt;=DATE(2021,1,1),1,0))</f>
        <v/>
      </c>
      <c r="Q54">
        <f>IF(L54="",0,IF(L54&lt;TIME(7,0,0),1,0))</f>
        <v/>
      </c>
      <c r="R54">
        <f>IF(M54="",0,IF(M54&gt;TIME(18,0,0),1,0))</f>
        <v/>
      </c>
      <c r="S54">
        <f>IF(AND(H54="Yes",O54=1,COUNTIFS($C$2:C54,C54,$N$2:N54,N54,$H$2:H54,"Yes",$O$2:O54,1)=1),1,0)</f>
        <v/>
      </c>
      <c r="T54">
        <f>SUMIFS($F$2:$F$294,$C$2:$C$294,C54,$N$2:$N$294,N54,$H$2:$H$294,"Yes",$O$2:$O$294,1)</f>
        <v/>
      </c>
    </row>
    <row r="55">
      <c r="A55" t="inlineStr">
        <is>
          <t>SE-40006161</t>
        </is>
      </c>
      <c r="B55" t="inlineStr">
        <is>
          <t>Reddam House Early Learning School Lindfield</t>
        </is>
      </c>
      <c r="C55" t="inlineStr">
        <is>
          <t>Inspired Australia Pty Limited</t>
        </is>
      </c>
      <c r="D55" t="inlineStr">
        <is>
          <t>LINDFIELD</t>
        </is>
      </c>
      <c r="E55" t="inlineStr">
        <is>
          <t>2070</t>
        </is>
      </c>
      <c r="F55" t="n">
        <v>175</v>
      </c>
      <c r="G55" t="inlineStr">
        <is>
          <t>Exceeding NQS</t>
        </is>
      </c>
      <c r="H55" t="inlineStr">
        <is>
          <t>Yes</t>
        </is>
      </c>
      <c r="I55" t="inlineStr">
        <is>
          <t>No</t>
        </is>
      </c>
      <c r="J55" t="inlineStr">
        <is>
          <t>No</t>
        </is>
      </c>
      <c r="K55" s="9" t="n">
        <v>42552</v>
      </c>
      <c r="L55" s="10" t="n">
        <v>0.3333333333333333</v>
      </c>
      <c r="M55" s="10" t="n">
        <v>0.75</v>
      </c>
      <c r="N55">
        <f>IFERROR(VLOOKUP(UPPER(D55),Suburb_LGA_Map!$A:$B,2,FALSE),"")</f>
        <v/>
      </c>
      <c r="O55" s="3" t="n">
        <v>1</v>
      </c>
      <c r="P55">
        <f>IF(K55="",0,IF(K55&gt;=DATE(2021,1,1),1,0))</f>
        <v/>
      </c>
      <c r="Q55">
        <f>IF(L55="",0,IF(L55&lt;TIME(7,0,0),1,0))</f>
        <v/>
      </c>
      <c r="R55">
        <f>IF(M55="",0,IF(M55&gt;TIME(18,0,0),1,0))</f>
        <v/>
      </c>
      <c r="S55">
        <f>IF(AND(H55="Yes",O55=1,COUNTIFS($C$2:C55,C55,$N$2:N55,N55,$H$2:H55,"Yes",$O$2:O55,1)=1),1,0)</f>
        <v/>
      </c>
      <c r="T55">
        <f>SUMIFS($F$2:$F$294,$C$2:$C$294,C55,$N$2:$N$294,N55,$H$2:$H$294,"Yes",$O$2:$O$294,1)</f>
        <v/>
      </c>
    </row>
    <row r="56">
      <c r="A56" t="inlineStr">
        <is>
          <t>SE-40006412</t>
        </is>
      </c>
      <c r="B56" t="inlineStr">
        <is>
          <t>Daystars Bardwell Valley</t>
        </is>
      </c>
      <c r="C56" t="inlineStr">
        <is>
          <t>Killara Child Care Centre Pty Limited</t>
        </is>
      </c>
      <c r="D56" t="inlineStr">
        <is>
          <t>BARDWELL VALLEY</t>
        </is>
      </c>
      <c r="E56" t="inlineStr">
        <is>
          <t>2207</t>
        </is>
      </c>
      <c r="F56" t="n">
        <v>60</v>
      </c>
      <c r="G56" t="inlineStr">
        <is>
          <t>Meeting NQS</t>
        </is>
      </c>
      <c r="H56" t="inlineStr">
        <is>
          <t>Yes</t>
        </is>
      </c>
      <c r="I56" t="inlineStr">
        <is>
          <t>No</t>
        </is>
      </c>
      <c r="J56" t="inlineStr">
        <is>
          <t>No</t>
        </is>
      </c>
      <c r="K56" s="9" t="n">
        <v>42550</v>
      </c>
      <c r="L56" s="10" t="n">
        <v>0.3125</v>
      </c>
      <c r="M56" s="10" t="n">
        <v>0.75</v>
      </c>
      <c r="N56">
        <f>IFERROR(VLOOKUP(UPPER(D56),Suburb_LGA_Map!$A:$B,2,FALSE),"")</f>
        <v/>
      </c>
      <c r="O56" s="3" t="n">
        <v>1</v>
      </c>
      <c r="P56">
        <f>IF(K56="",0,IF(K56&gt;=DATE(2021,1,1),1,0))</f>
        <v/>
      </c>
      <c r="Q56">
        <f>IF(L56="",0,IF(L56&lt;TIME(7,0,0),1,0))</f>
        <v/>
      </c>
      <c r="R56">
        <f>IF(M56="",0,IF(M56&gt;TIME(18,0,0),1,0))</f>
        <v/>
      </c>
      <c r="S56">
        <f>IF(AND(H56="Yes",O56=1,COUNTIFS($C$2:C56,C56,$N$2:N56,N56,$H$2:H56,"Yes",$O$2:O56,1)=1),1,0)</f>
        <v/>
      </c>
      <c r="T56">
        <f>SUMIFS($F$2:$F$294,$C$2:$C$294,C56,$N$2:$N$294,N56,$H$2:$H$294,"Yes",$O$2:$O$294,1)</f>
        <v/>
      </c>
    </row>
    <row r="57">
      <c r="A57" t="inlineStr">
        <is>
          <t>SE-00011834</t>
        </is>
      </c>
      <c r="B57" t="inlineStr">
        <is>
          <t>Uniting Wahroonga Prep Outside School Hours Care</t>
        </is>
      </c>
      <c r="C57" t="inlineStr">
        <is>
          <t>The Uniting Church In Australia Property Trust (NSW)</t>
        </is>
      </c>
      <c r="D57" t="inlineStr">
        <is>
          <t>WAHROONGA</t>
        </is>
      </c>
      <c r="E57" t="inlineStr">
        <is>
          <t>2076</t>
        </is>
      </c>
      <c r="F57" t="n">
        <v>45</v>
      </c>
      <c r="G57" t="inlineStr">
        <is>
          <t>Meeting NQS</t>
        </is>
      </c>
      <c r="H57" t="inlineStr">
        <is>
          <t>No</t>
        </is>
      </c>
      <c r="I57" t="inlineStr">
        <is>
          <t>No</t>
        </is>
      </c>
      <c r="J57" t="inlineStr">
        <is>
          <t>Yes</t>
        </is>
      </c>
      <c r="K57" s="9" t="n">
        <v>41117</v>
      </c>
      <c r="L57" s="10" t="n"/>
      <c r="M57" s="10" t="n"/>
      <c r="N57">
        <f>IFERROR(VLOOKUP(UPPER(D57),Suburb_LGA_Map!$A:$B,2,FALSE),"")</f>
        <v/>
      </c>
      <c r="O57" s="3" t="n">
        <v>1</v>
      </c>
      <c r="P57">
        <f>IF(K57="",0,IF(K57&gt;=DATE(2021,1,1),1,0))</f>
        <v/>
      </c>
      <c r="Q57">
        <f>IF(L57="",0,IF(L57&lt;TIME(7,0,0),1,0))</f>
        <v/>
      </c>
      <c r="R57">
        <f>IF(M57="",0,IF(M57&gt;TIME(18,0,0),1,0))</f>
        <v/>
      </c>
      <c r="S57">
        <f>IF(AND(H57="Yes",O57=1,COUNTIFS($C$2:C57,C57,$N$2:N57,N57,$H$2:H57,"Yes",$O$2:O57,1)=1),1,0)</f>
        <v/>
      </c>
      <c r="T57">
        <f>SUMIFS($F$2:$F$294,$C$2:$C$294,C57,$N$2:$N$294,N57,$H$2:$H$294,"Yes",$O$2:$O$294,1)</f>
        <v/>
      </c>
    </row>
    <row r="58">
      <c r="A58" t="inlineStr">
        <is>
          <t>SE-00011862</t>
        </is>
      </c>
      <c r="B58" t="inlineStr">
        <is>
          <t>Prouille Wahroonga OSHC</t>
        </is>
      </c>
      <c r="C58" t="inlineStr">
        <is>
          <t>Catholiccare Diocese of Broken Bay</t>
        </is>
      </c>
      <c r="D58" t="inlineStr">
        <is>
          <t>WAHROONGA</t>
        </is>
      </c>
      <c r="E58" t="inlineStr">
        <is>
          <t>2076</t>
        </is>
      </c>
      <c r="F58" t="n">
        <v>90</v>
      </c>
      <c r="G58" t="inlineStr">
        <is>
          <t>Meeting NQS</t>
        </is>
      </c>
      <c r="H58" t="inlineStr">
        <is>
          <t>No</t>
        </is>
      </c>
      <c r="I58" t="inlineStr">
        <is>
          <t>No</t>
        </is>
      </c>
      <c r="J58" t="inlineStr">
        <is>
          <t>Yes</t>
        </is>
      </c>
      <c r="K58" s="9" t="n">
        <v>41520</v>
      </c>
      <c r="L58" s="10" t="n"/>
      <c r="M58" s="10" t="n"/>
      <c r="N58">
        <f>IFERROR(VLOOKUP(UPPER(D58),Suburb_LGA_Map!$A:$B,2,FALSE),"")</f>
        <v/>
      </c>
      <c r="O58" s="3" t="n">
        <v>1</v>
      </c>
      <c r="P58">
        <f>IF(K58="",0,IF(K58&gt;=DATE(2021,1,1),1,0))</f>
        <v/>
      </c>
      <c r="Q58">
        <f>IF(L58="",0,IF(L58&lt;TIME(7,0,0),1,0))</f>
        <v/>
      </c>
      <c r="R58">
        <f>IF(M58="",0,IF(M58&gt;TIME(18,0,0),1,0))</f>
        <v/>
      </c>
      <c r="S58">
        <f>IF(AND(H58="Yes",O58=1,COUNTIFS($C$2:C58,C58,$N$2:N58,N58,$H$2:H58,"Yes",$O$2:O58,1)=1),1,0)</f>
        <v/>
      </c>
      <c r="T58">
        <f>SUMIFS($F$2:$F$294,$C$2:$C$294,C58,$N$2:$N$294,N58,$H$2:$H$294,"Yes",$O$2:$O$294,1)</f>
        <v/>
      </c>
    </row>
    <row r="59">
      <c r="A59" t="inlineStr">
        <is>
          <t>SE-00011880</t>
        </is>
      </c>
      <c r="B59" t="inlineStr">
        <is>
          <t>Corpus Christi Outside School Hours Care St Ives</t>
        </is>
      </c>
      <c r="C59" t="inlineStr">
        <is>
          <t>Catholiccare Diocese of Broken Bay</t>
        </is>
      </c>
      <c r="D59" t="inlineStr">
        <is>
          <t>ST IVES</t>
        </is>
      </c>
      <c r="E59" t="inlineStr">
        <is>
          <t>2075</t>
        </is>
      </c>
      <c r="F59" t="n">
        <v>50</v>
      </c>
      <c r="G59" t="inlineStr">
        <is>
          <t>Meeting NQS</t>
        </is>
      </c>
      <c r="H59" t="inlineStr">
        <is>
          <t>No</t>
        </is>
      </c>
      <c r="I59" t="inlineStr">
        <is>
          <t>No</t>
        </is>
      </c>
      <c r="J59" t="inlineStr">
        <is>
          <t>No</t>
        </is>
      </c>
      <c r="K59" s="9" t="n">
        <v>41464</v>
      </c>
      <c r="L59" s="10" t="n">
        <v>0.625</v>
      </c>
      <c r="M59" s="10" t="n">
        <v>0.75</v>
      </c>
      <c r="N59">
        <f>IFERROR(VLOOKUP(UPPER(D59),Suburb_LGA_Map!$A:$B,2,FALSE),"")</f>
        <v/>
      </c>
      <c r="O59" s="3" t="n">
        <v>1</v>
      </c>
      <c r="P59">
        <f>IF(K59="",0,IF(K59&gt;=DATE(2021,1,1),1,0))</f>
        <v/>
      </c>
      <c r="Q59">
        <f>IF(L59="",0,IF(L59&lt;TIME(7,0,0),1,0))</f>
        <v/>
      </c>
      <c r="R59">
        <f>IF(M59="",0,IF(M59&gt;TIME(18,0,0),1,0))</f>
        <v/>
      </c>
      <c r="S59">
        <f>IF(AND(H59="Yes",O59=1,COUNTIFS($C$2:C59,C59,$N$2:N59,N59,$H$2:H59,"Yes",$O$2:O59,1)=1),1,0)</f>
        <v/>
      </c>
      <c r="T59">
        <f>SUMIFS($F$2:$F$294,$C$2:$C$294,C59,$N$2:$N$294,N59,$H$2:$H$294,"Yes",$O$2:$O$294,1)</f>
        <v/>
      </c>
    </row>
    <row r="60">
      <c r="A60" t="inlineStr">
        <is>
          <t>SE-00011970</t>
        </is>
      </c>
      <c r="B60" t="inlineStr">
        <is>
          <t>St Ives OSHC</t>
        </is>
      </c>
      <c r="C60" t="inlineStr">
        <is>
          <t>PRIMARY OSHCARE PTY LTD</t>
        </is>
      </c>
      <c r="D60" t="inlineStr">
        <is>
          <t>ST IVES</t>
        </is>
      </c>
      <c r="E60" t="inlineStr">
        <is>
          <t>2075</t>
        </is>
      </c>
      <c r="F60" t="n">
        <v>158</v>
      </c>
      <c r="G60" t="inlineStr">
        <is>
          <t>Meeting NQS</t>
        </is>
      </c>
      <c r="H60" t="inlineStr">
        <is>
          <t>No</t>
        </is>
      </c>
      <c r="I60" t="inlineStr">
        <is>
          <t>No</t>
        </is>
      </c>
      <c r="J60" t="inlineStr">
        <is>
          <t>Yes</t>
        </is>
      </c>
      <c r="K60" s="9" t="n">
        <v>41501</v>
      </c>
      <c r="L60" s="10" t="n"/>
      <c r="M60" s="10" t="n"/>
      <c r="N60">
        <f>IFERROR(VLOOKUP(UPPER(D60),Suburb_LGA_Map!$A:$B,2,FALSE),"")</f>
        <v/>
      </c>
      <c r="O60" s="3" t="n">
        <v>1</v>
      </c>
      <c r="P60">
        <f>IF(K60="",0,IF(K60&gt;=DATE(2021,1,1),1,0))</f>
        <v/>
      </c>
      <c r="Q60">
        <f>IF(L60="",0,IF(L60&lt;TIME(7,0,0),1,0))</f>
        <v/>
      </c>
      <c r="R60">
        <f>IF(M60="",0,IF(M60&gt;TIME(18,0,0),1,0))</f>
        <v/>
      </c>
      <c r="S60">
        <f>IF(AND(H60="Yes",O60=1,COUNTIFS($C$2:C60,C60,$N$2:N60,N60,$H$2:H60,"Yes",$O$2:O60,1)=1),1,0)</f>
        <v/>
      </c>
      <c r="T60">
        <f>SUMIFS($F$2:$F$294,$C$2:$C$294,C60,$N$2:$N$294,N60,$H$2:$H$294,"Yes",$O$2:$O$294,1)</f>
        <v/>
      </c>
    </row>
    <row r="61">
      <c r="A61" t="inlineStr">
        <is>
          <t>SE-00011986</t>
        </is>
      </c>
      <c r="B61" t="inlineStr">
        <is>
          <t>TeamKids - Turramurra North Public School</t>
        </is>
      </c>
      <c r="C61" t="inlineStr">
        <is>
          <t>TEAM HOLIDAY PTY LTD</t>
        </is>
      </c>
      <c r="D61" t="inlineStr">
        <is>
          <t>NORTH TURRAMURRA</t>
        </is>
      </c>
      <c r="E61" t="inlineStr">
        <is>
          <t>2074</t>
        </is>
      </c>
      <c r="F61" t="n">
        <v>80</v>
      </c>
      <c r="G61" t="inlineStr">
        <is>
          <t>Meeting NQS</t>
        </is>
      </c>
      <c r="H61" t="inlineStr">
        <is>
          <t>No</t>
        </is>
      </c>
      <c r="I61" t="inlineStr">
        <is>
          <t>No</t>
        </is>
      </c>
      <c r="J61" t="inlineStr">
        <is>
          <t>Yes</t>
        </is>
      </c>
      <c r="K61" s="9" t="n">
        <v>41558</v>
      </c>
      <c r="L61" s="10" t="n"/>
      <c r="M61" s="10" t="n"/>
      <c r="N61">
        <f>IFERROR(VLOOKUP(UPPER(D61),Suburb_LGA_Map!$A:$B,2,FALSE),"")</f>
        <v/>
      </c>
      <c r="O61" s="3" t="n">
        <v>1</v>
      </c>
      <c r="P61">
        <f>IF(K61="",0,IF(K61&gt;=DATE(2021,1,1),1,0))</f>
        <v/>
      </c>
      <c r="Q61">
        <f>IF(L61="",0,IF(L61&lt;TIME(7,0,0),1,0))</f>
        <v/>
      </c>
      <c r="R61">
        <f>IF(M61="",0,IF(M61&gt;TIME(18,0,0),1,0))</f>
        <v/>
      </c>
      <c r="S61">
        <f>IF(AND(H61="Yes",O61=1,COUNTIFS($C$2:C61,C61,$N$2:N61,N61,$H$2:H61,"Yes",$O$2:O61,1)=1),1,0)</f>
        <v/>
      </c>
      <c r="T61">
        <f>SUMIFS($F$2:$F$294,$C$2:$C$294,C61,$N$2:$N$294,N61,$H$2:$H$294,"Yes",$O$2:$O$294,1)</f>
        <v/>
      </c>
    </row>
    <row r="62">
      <c r="A62" t="inlineStr">
        <is>
          <t>SE-00018531</t>
        </is>
      </c>
      <c r="B62" t="inlineStr">
        <is>
          <t>Early Years School Pymble Ladies' College</t>
        </is>
      </c>
      <c r="C62" t="inlineStr">
        <is>
          <t>Pymble Ladies' College</t>
        </is>
      </c>
      <c r="D62" t="inlineStr">
        <is>
          <t>PYMBLE</t>
        </is>
      </c>
      <c r="E62" t="inlineStr">
        <is>
          <t>2073</t>
        </is>
      </c>
      <c r="F62" t="n">
        <v>90</v>
      </c>
      <c r="G62" t="inlineStr"/>
      <c r="H62" t="inlineStr">
        <is>
          <t>Yes</t>
        </is>
      </c>
      <c r="I62" t="inlineStr">
        <is>
          <t>No</t>
        </is>
      </c>
      <c r="J62" t="inlineStr">
        <is>
          <t>No</t>
        </is>
      </c>
      <c r="K62" s="9" t="n">
        <v>46162</v>
      </c>
      <c r="L62" s="10" t="n">
        <v>0.2916666666666667</v>
      </c>
      <c r="M62" s="10" t="n">
        <v>0.7708333333333334</v>
      </c>
      <c r="N62">
        <f>IFERROR(VLOOKUP(UPPER(D62),Suburb_LGA_Map!$A:$B,2,FALSE),"")</f>
        <v/>
      </c>
      <c r="O62" s="3" t="n">
        <v>1</v>
      </c>
      <c r="P62">
        <f>IF(K62="",0,IF(K62&gt;=DATE(2021,1,1),1,0))</f>
        <v/>
      </c>
      <c r="Q62">
        <f>IF(L62="",0,IF(L62&lt;TIME(7,0,0),1,0))</f>
        <v/>
      </c>
      <c r="R62">
        <f>IF(M62="",0,IF(M62&gt;TIME(18,0,0),1,0))</f>
        <v/>
      </c>
      <c r="S62">
        <f>IF(AND(H62="Yes",O62=1,COUNTIFS($C$2:C62,C62,$N$2:N62,N62,$H$2:H62,"Yes",$O$2:O62,1)=1),1,0)</f>
        <v/>
      </c>
      <c r="T62">
        <f>SUMIFS($F$2:$F$294,$C$2:$C$294,C62,$N$2:$N$294,N62,$H$2:$H$294,"Yes",$O$2:$O$294,1)</f>
        <v/>
      </c>
    </row>
    <row r="63">
      <c r="A63" t="inlineStr">
        <is>
          <t>SE-00018596</t>
        </is>
      </c>
      <c r="B63" t="inlineStr">
        <is>
          <t>The Y Carlton OSHC</t>
        </is>
      </c>
      <c r="C63" t="inlineStr">
        <is>
          <t>Young Men's Christian Association of Sydney</t>
        </is>
      </c>
      <c r="D63" t="inlineStr">
        <is>
          <t>BEXLEY</t>
        </is>
      </c>
      <c r="E63" t="inlineStr">
        <is>
          <t>2207</t>
        </is>
      </c>
      <c r="F63" t="n">
        <v>69</v>
      </c>
      <c r="G63" t="inlineStr"/>
      <c r="H63" t="inlineStr">
        <is>
          <t>No</t>
        </is>
      </c>
      <c r="I63" t="inlineStr">
        <is>
          <t>No</t>
        </is>
      </c>
      <c r="J63" t="inlineStr">
        <is>
          <t>Yes</t>
        </is>
      </c>
      <c r="K63" s="9" t="n">
        <v>46122</v>
      </c>
      <c r="L63" s="10" t="n"/>
      <c r="M63" s="10" t="n"/>
      <c r="N63">
        <f>IFERROR(VLOOKUP(UPPER(D63),Suburb_LGA_Map!$A:$B,2,FALSE),"")</f>
        <v/>
      </c>
      <c r="O63" s="3" t="n">
        <v>1</v>
      </c>
      <c r="P63">
        <f>IF(K63="",0,IF(K63&gt;=DATE(2021,1,1),1,0))</f>
        <v/>
      </c>
      <c r="Q63">
        <f>IF(L63="",0,IF(L63&lt;TIME(7,0,0),1,0))</f>
        <v/>
      </c>
      <c r="R63">
        <f>IF(M63="",0,IF(M63&gt;TIME(18,0,0),1,0))</f>
        <v/>
      </c>
      <c r="S63">
        <f>IF(AND(H63="Yes",O63=1,COUNTIFS($C$2:C63,C63,$N$2:N63,N63,$H$2:H63,"Yes",$O$2:O63,1)=1),1,0)</f>
        <v/>
      </c>
      <c r="T63">
        <f>SUMIFS($F$2:$F$294,$C$2:$C$294,C63,$N$2:$N$294,N63,$H$2:$H$294,"Yes",$O$2:$O$294,1)</f>
        <v/>
      </c>
    </row>
    <row r="64">
      <c r="A64" t="inlineStr">
        <is>
          <t>SE-00009328</t>
        </is>
      </c>
      <c r="B64" t="inlineStr">
        <is>
          <t>Thomas Carlyle Children's Centre</t>
        </is>
      </c>
      <c r="C64" t="inlineStr">
        <is>
          <t>Ku-ring-gai Council</t>
        </is>
      </c>
      <c r="D64" t="inlineStr">
        <is>
          <t>LINDFIELD</t>
        </is>
      </c>
      <c r="E64" t="inlineStr">
        <is>
          <t>2070</t>
        </is>
      </c>
      <c r="F64" t="n">
        <v>55</v>
      </c>
      <c r="G64" t="inlineStr">
        <is>
          <t>Meeting NQS</t>
        </is>
      </c>
      <c r="H64" t="inlineStr">
        <is>
          <t>Yes</t>
        </is>
      </c>
      <c r="I64" t="inlineStr">
        <is>
          <t>No</t>
        </is>
      </c>
      <c r="J64" t="inlineStr">
        <is>
          <t>No</t>
        </is>
      </c>
      <c r="K64" s="9" t="n">
        <v>39560</v>
      </c>
      <c r="L64" s="10" t="n">
        <v>0.3125</v>
      </c>
      <c r="M64" s="10" t="n">
        <v>0.75</v>
      </c>
      <c r="N64">
        <f>IFERROR(VLOOKUP(UPPER(D64),Suburb_LGA_Map!$A:$B,2,FALSE),"")</f>
        <v/>
      </c>
      <c r="O64" s="3" t="n">
        <v>1</v>
      </c>
      <c r="P64">
        <f>IF(K64="",0,IF(K64&gt;=DATE(2021,1,1),1,0))</f>
        <v/>
      </c>
      <c r="Q64">
        <f>IF(L64="",0,IF(L64&lt;TIME(7,0,0),1,0))</f>
        <v/>
      </c>
      <c r="R64">
        <f>IF(M64="",0,IF(M64&gt;TIME(18,0,0),1,0))</f>
        <v/>
      </c>
      <c r="S64">
        <f>IF(AND(H64="Yes",O64=1,COUNTIFS($C$2:C64,C64,$N$2:N64,N64,$H$2:H64,"Yes",$O$2:O64,1)=1),1,0)</f>
        <v/>
      </c>
      <c r="T64">
        <f>SUMIFS($F$2:$F$294,$C$2:$C$294,C64,$N$2:$N$294,N64,$H$2:$H$294,"Yes",$O$2:$O$294,1)</f>
        <v/>
      </c>
    </row>
    <row r="65">
      <c r="A65" t="inlineStr">
        <is>
          <t>SE-00009405</t>
        </is>
      </c>
      <c r="B65" t="inlineStr">
        <is>
          <t>Tumbling Teddy's Cottage</t>
        </is>
      </c>
      <c r="C65" t="inlineStr">
        <is>
          <t>Adluke Pty Ltd</t>
        </is>
      </c>
      <c r="D65" t="inlineStr">
        <is>
          <t>BEXLEY</t>
        </is>
      </c>
      <c r="E65" t="inlineStr">
        <is>
          <t>2207</t>
        </is>
      </c>
      <c r="F65" t="n">
        <v>29</v>
      </c>
      <c r="G65" t="inlineStr">
        <is>
          <t>Meeting NQS</t>
        </is>
      </c>
      <c r="H65" t="inlineStr">
        <is>
          <t>Yes</t>
        </is>
      </c>
      <c r="I65" t="inlineStr">
        <is>
          <t>No</t>
        </is>
      </c>
      <c r="J65" t="inlineStr">
        <is>
          <t>No</t>
        </is>
      </c>
      <c r="K65" s="9" t="n">
        <v>40308</v>
      </c>
      <c r="L65" s="10" t="n">
        <v>0.3125</v>
      </c>
      <c r="M65" s="10" t="n">
        <v>0.75</v>
      </c>
      <c r="N65">
        <f>IFERROR(VLOOKUP(UPPER(D65),Suburb_LGA_Map!$A:$B,2,FALSE),"")</f>
        <v/>
      </c>
      <c r="O65" s="3" t="n">
        <v>1</v>
      </c>
      <c r="P65">
        <f>IF(K65="",0,IF(K65&gt;=DATE(2021,1,1),1,0))</f>
        <v/>
      </c>
      <c r="Q65">
        <f>IF(L65="",0,IF(L65&lt;TIME(7,0,0),1,0))</f>
        <v/>
      </c>
      <c r="R65">
        <f>IF(M65="",0,IF(M65&gt;TIME(18,0,0),1,0))</f>
        <v/>
      </c>
      <c r="S65">
        <f>IF(AND(H65="Yes",O65=1,COUNTIFS($C$2:C65,C65,$N$2:N65,N65,$H$2:H65,"Yes",$O$2:O65,1)=1),1,0)</f>
        <v/>
      </c>
      <c r="T65">
        <f>SUMIFS($F$2:$F$294,$C$2:$C$294,C65,$N$2:$N$294,N65,$H$2:$H$294,"Yes",$O$2:$O$294,1)</f>
        <v/>
      </c>
    </row>
    <row r="66">
      <c r="A66" t="inlineStr">
        <is>
          <t>SE-00009410</t>
        </is>
      </c>
      <c r="B66" t="inlineStr">
        <is>
          <t>Tennyson Preschool by Handprints</t>
        </is>
      </c>
      <c r="C66" t="inlineStr">
        <is>
          <t>Handprints ELC Pty Ltd</t>
        </is>
      </c>
      <c r="D66" t="inlineStr">
        <is>
          <t>TURRAMURRA</t>
        </is>
      </c>
      <c r="E66" t="inlineStr">
        <is>
          <t>2074</t>
        </is>
      </c>
      <c r="F66" t="n">
        <v>43</v>
      </c>
      <c r="G66" t="inlineStr">
        <is>
          <t>Meeting NQS</t>
        </is>
      </c>
      <c r="H66" t="inlineStr">
        <is>
          <t>Yes</t>
        </is>
      </c>
      <c r="I66" t="inlineStr">
        <is>
          <t>No</t>
        </is>
      </c>
      <c r="J66" t="inlineStr">
        <is>
          <t>No</t>
        </is>
      </c>
      <c r="K66" s="9" t="n">
        <v>39573</v>
      </c>
      <c r="L66" s="10" t="n">
        <v>0.3125</v>
      </c>
      <c r="M66" s="10" t="n">
        <v>0.7083333333333334</v>
      </c>
      <c r="N66">
        <f>IFERROR(VLOOKUP(UPPER(D66),Suburb_LGA_Map!$A:$B,2,FALSE),"")</f>
        <v/>
      </c>
      <c r="O66" s="3" t="n">
        <v>1</v>
      </c>
      <c r="P66">
        <f>IF(K66="",0,IF(K66&gt;=DATE(2021,1,1),1,0))</f>
        <v/>
      </c>
      <c r="Q66">
        <f>IF(L66="",0,IF(L66&lt;TIME(7,0,0),1,0))</f>
        <v/>
      </c>
      <c r="R66">
        <f>IF(M66="",0,IF(M66&gt;TIME(18,0,0),1,0))</f>
        <v/>
      </c>
      <c r="S66">
        <f>IF(AND(H66="Yes",O66=1,COUNTIFS($C$2:C66,C66,$N$2:N66,N66,$H$2:H66,"Yes",$O$2:O66,1)=1),1,0)</f>
        <v/>
      </c>
      <c r="T66">
        <f>SUMIFS($F$2:$F$294,$C$2:$C$294,C66,$N$2:$N$294,N66,$H$2:$H$294,"Yes",$O$2:$O$294,1)</f>
        <v/>
      </c>
    </row>
    <row r="67">
      <c r="A67" t="inlineStr">
        <is>
          <t>SE-00009411</t>
        </is>
      </c>
      <c r="B67" t="inlineStr">
        <is>
          <t>Bluebird Early Education Bexley</t>
        </is>
      </c>
      <c r="C67" t="inlineStr">
        <is>
          <t>VOXARK PTY LTD</t>
        </is>
      </c>
      <c r="D67" t="inlineStr">
        <is>
          <t>BEXLEY</t>
        </is>
      </c>
      <c r="E67" t="inlineStr">
        <is>
          <t>2207</t>
        </is>
      </c>
      <c r="F67" t="n">
        <v>91</v>
      </c>
      <c r="G67" t="inlineStr">
        <is>
          <t>Meeting NQS</t>
        </is>
      </c>
      <c r="H67" t="inlineStr">
        <is>
          <t>Yes</t>
        </is>
      </c>
      <c r="I67" t="inlineStr">
        <is>
          <t>No</t>
        </is>
      </c>
      <c r="J67" t="inlineStr">
        <is>
          <t>No</t>
        </is>
      </c>
      <c r="K67" s="9" t="n">
        <v>39804</v>
      </c>
      <c r="L67" s="10" t="n">
        <v>0.2916666666666667</v>
      </c>
      <c r="M67" s="10" t="n">
        <v>0.75</v>
      </c>
      <c r="N67">
        <f>IFERROR(VLOOKUP(UPPER(D67),Suburb_LGA_Map!$A:$B,2,FALSE),"")</f>
        <v/>
      </c>
      <c r="O67" s="3" t="n">
        <v>1</v>
      </c>
      <c r="P67">
        <f>IF(K67="",0,IF(K67&gt;=DATE(2021,1,1),1,0))</f>
        <v/>
      </c>
      <c r="Q67">
        <f>IF(L67="",0,IF(L67&lt;TIME(7,0,0),1,0))</f>
        <v/>
      </c>
      <c r="R67">
        <f>IF(M67="",0,IF(M67&gt;TIME(18,0,0),1,0))</f>
        <v/>
      </c>
      <c r="S67">
        <f>IF(AND(H67="Yes",O67=1,COUNTIFS($C$2:C67,C67,$N$2:N67,N67,$H$2:H67,"Yes",$O$2:O67,1)=1),1,0)</f>
        <v/>
      </c>
      <c r="T67">
        <f>SUMIFS($F$2:$F$294,$C$2:$C$294,C67,$N$2:$N$294,N67,$H$2:$H$294,"Yes",$O$2:$O$294,1)</f>
        <v/>
      </c>
    </row>
    <row r="68">
      <c r="A68" t="inlineStr">
        <is>
          <t>SE-00013301</t>
        </is>
      </c>
      <c r="B68" t="inlineStr">
        <is>
          <t>Roseville Kids Care</t>
        </is>
      </c>
      <c r="C68" t="inlineStr">
        <is>
          <t>Roseville P &amp; C Kids Care Association Inc</t>
        </is>
      </c>
      <c r="D68" t="inlineStr">
        <is>
          <t>ROSEVILLE</t>
        </is>
      </c>
      <c r="E68" t="inlineStr">
        <is>
          <t>2069</t>
        </is>
      </c>
      <c r="F68" t="n">
        <v>75</v>
      </c>
      <c r="G68" t="inlineStr">
        <is>
          <t>Meeting NQS</t>
        </is>
      </c>
      <c r="H68" t="inlineStr">
        <is>
          <t>No</t>
        </is>
      </c>
      <c r="I68" t="inlineStr">
        <is>
          <t>No</t>
        </is>
      </c>
      <c r="J68" t="inlineStr">
        <is>
          <t>Yes</t>
        </is>
      </c>
      <c r="K68" s="9" t="n">
        <v>41626</v>
      </c>
      <c r="L68" s="10" t="n"/>
      <c r="M68" s="10" t="n"/>
      <c r="N68">
        <f>IFERROR(VLOOKUP(UPPER(D68),Suburb_LGA_Map!$A:$B,2,FALSE),"")</f>
        <v/>
      </c>
      <c r="O68" s="3" t="n">
        <v>1</v>
      </c>
      <c r="P68">
        <f>IF(K68="",0,IF(K68&gt;=DATE(2021,1,1),1,0))</f>
        <v/>
      </c>
      <c r="Q68">
        <f>IF(L68="",0,IF(L68&lt;TIME(7,0,0),1,0))</f>
        <v/>
      </c>
      <c r="R68">
        <f>IF(M68="",0,IF(M68&gt;TIME(18,0,0),1,0))</f>
        <v/>
      </c>
      <c r="S68">
        <f>IF(AND(H68="Yes",O68=1,COUNTIFS($C$2:C68,C68,$N$2:N68,N68,$H$2:H68,"Yes",$O$2:O68,1)=1),1,0)</f>
        <v/>
      </c>
      <c r="T68">
        <f>SUMIFS($F$2:$F$294,$C$2:$C$294,C68,$N$2:$N$294,N68,$H$2:$H$294,"Yes",$O$2:$O$294,1)</f>
        <v/>
      </c>
    </row>
    <row r="69">
      <c r="A69" t="inlineStr">
        <is>
          <t>SE-00011417</t>
        </is>
      </c>
      <c r="B69" t="inlineStr">
        <is>
          <t>Warrawee Care Centre</t>
        </is>
      </c>
      <c r="C69" t="inlineStr">
        <is>
          <t>Warrawee Care Centre Incorporated</t>
        </is>
      </c>
      <c r="D69" t="inlineStr">
        <is>
          <t>WARRAWEE</t>
        </is>
      </c>
      <c r="E69" t="inlineStr">
        <is>
          <t>2074</t>
        </is>
      </c>
      <c r="F69" t="n">
        <v>300</v>
      </c>
      <c r="G69" t="inlineStr">
        <is>
          <t>Excellent</t>
        </is>
      </c>
      <c r="H69" t="inlineStr">
        <is>
          <t>No</t>
        </is>
      </c>
      <c r="I69" t="inlineStr">
        <is>
          <t>No</t>
        </is>
      </c>
      <c r="J69" t="inlineStr">
        <is>
          <t>Yes</t>
        </is>
      </c>
      <c r="K69" s="9" t="n">
        <v>41225</v>
      </c>
      <c r="L69" s="10" t="n"/>
      <c r="M69" s="10" t="n"/>
      <c r="N69">
        <f>IFERROR(VLOOKUP(UPPER(D69),Suburb_LGA_Map!$A:$B,2,FALSE),"")</f>
        <v/>
      </c>
      <c r="O69" s="3" t="n">
        <v>1</v>
      </c>
      <c r="P69">
        <f>IF(K69="",0,IF(K69&gt;=DATE(2021,1,1),1,0))</f>
        <v/>
      </c>
      <c r="Q69">
        <f>IF(L69="",0,IF(L69&lt;TIME(7,0,0),1,0))</f>
        <v/>
      </c>
      <c r="R69">
        <f>IF(M69="",0,IF(M69&gt;TIME(18,0,0),1,0))</f>
        <v/>
      </c>
      <c r="S69">
        <f>IF(AND(H69="Yes",O69=1,COUNTIFS($C$2:C69,C69,$N$2:N69,N69,$H$2:H69,"Yes",$O$2:O69,1)=1),1,0)</f>
        <v/>
      </c>
      <c r="T69">
        <f>SUMIFS($F$2:$F$294,$C$2:$C$294,C69,$N$2:$N$294,N69,$H$2:$H$294,"Yes",$O$2:$O$294,1)</f>
        <v/>
      </c>
    </row>
    <row r="70">
      <c r="A70" t="inlineStr">
        <is>
          <t>SE-00011418</t>
        </is>
      </c>
      <c r="B70" t="inlineStr">
        <is>
          <t>Wahroonga Out of School Hours Care</t>
        </is>
      </c>
      <c r="C70" t="inlineStr">
        <is>
          <t>WAHROONGA PUBLIC SCHOOL P&amp;C ASSOCIATION</t>
        </is>
      </c>
      <c r="D70" t="inlineStr">
        <is>
          <t>WAHROONGA</t>
        </is>
      </c>
      <c r="E70" t="inlineStr">
        <is>
          <t>2076</t>
        </is>
      </c>
      <c r="F70" t="n">
        <v>246</v>
      </c>
      <c r="G70" t="inlineStr">
        <is>
          <t>Meeting NQS</t>
        </is>
      </c>
      <c r="H70" t="inlineStr">
        <is>
          <t>No</t>
        </is>
      </c>
      <c r="I70" t="inlineStr">
        <is>
          <t>No</t>
        </is>
      </c>
      <c r="J70" t="inlineStr">
        <is>
          <t>Yes</t>
        </is>
      </c>
      <c r="K70" s="9" t="n">
        <v>41410</v>
      </c>
      <c r="L70" s="10" t="n"/>
      <c r="M70" s="10" t="n"/>
      <c r="N70">
        <f>IFERROR(VLOOKUP(UPPER(D70),Suburb_LGA_Map!$A:$B,2,FALSE),"")</f>
        <v/>
      </c>
      <c r="O70" s="3" t="n">
        <v>1</v>
      </c>
      <c r="P70">
        <f>IF(K70="",0,IF(K70&gt;=DATE(2021,1,1),1,0))</f>
        <v/>
      </c>
      <c r="Q70">
        <f>IF(L70="",0,IF(L70&lt;TIME(7,0,0),1,0))</f>
        <v/>
      </c>
      <c r="R70">
        <f>IF(M70="",0,IF(M70&gt;TIME(18,0,0),1,0))</f>
        <v/>
      </c>
      <c r="S70">
        <f>IF(AND(H70="Yes",O70=1,COUNTIFS($C$2:C70,C70,$N$2:N70,N70,$H$2:H70,"Yes",$O$2:O70,1)=1),1,0)</f>
        <v/>
      </c>
      <c r="T70">
        <f>SUMIFS($F$2:$F$294,$C$2:$C$294,C70,$N$2:$N$294,N70,$H$2:$H$294,"Yes",$O$2:$O$294,1)</f>
        <v/>
      </c>
    </row>
    <row r="71">
      <c r="A71" t="inlineStr">
        <is>
          <t>SE-00011421</t>
        </is>
      </c>
      <c r="B71" t="inlineStr">
        <is>
          <t>West Pymble Out of School Care Inc</t>
        </is>
      </c>
      <c r="C71" t="inlineStr">
        <is>
          <t>West Pymble Out Of School Care Inc</t>
        </is>
      </c>
      <c r="D71" t="inlineStr">
        <is>
          <t>WEST PYMBLE</t>
        </is>
      </c>
      <c r="E71" t="inlineStr">
        <is>
          <t>2073</t>
        </is>
      </c>
      <c r="F71" t="n">
        <v>100</v>
      </c>
      <c r="G71" t="inlineStr">
        <is>
          <t>Meeting NQS</t>
        </is>
      </c>
      <c r="H71" t="inlineStr">
        <is>
          <t>No</t>
        </is>
      </c>
      <c r="I71" t="inlineStr">
        <is>
          <t>No</t>
        </is>
      </c>
      <c r="J71" t="inlineStr">
        <is>
          <t>Yes</t>
        </is>
      </c>
      <c r="K71" s="9" t="n">
        <v>41437</v>
      </c>
      <c r="L71" s="10" t="n"/>
      <c r="M71" s="10" t="n"/>
      <c r="N71">
        <f>IFERROR(VLOOKUP(UPPER(D71),Suburb_LGA_Map!$A:$B,2,FALSE),"")</f>
        <v/>
      </c>
      <c r="O71" s="3" t="n">
        <v>1</v>
      </c>
      <c r="P71">
        <f>IF(K71="",0,IF(K71&gt;=DATE(2021,1,1),1,0))</f>
        <v/>
      </c>
      <c r="Q71">
        <f>IF(L71="",0,IF(L71&lt;TIME(7,0,0),1,0))</f>
        <v/>
      </c>
      <c r="R71">
        <f>IF(M71="",0,IF(M71&gt;TIME(18,0,0),1,0))</f>
        <v/>
      </c>
      <c r="S71">
        <f>IF(AND(H71="Yes",O71=1,COUNTIFS($C$2:C71,C71,$N$2:N71,N71,$H$2:H71,"Yes",$O$2:O71,1)=1),1,0)</f>
        <v/>
      </c>
      <c r="T71">
        <f>SUMIFS($F$2:$F$294,$C$2:$C$294,C71,$N$2:$N$294,N71,$H$2:$H$294,"Yes",$O$2:$O$294,1)</f>
        <v/>
      </c>
    </row>
    <row r="72">
      <c r="A72" t="inlineStr">
        <is>
          <t>SE-00011429</t>
        </is>
      </c>
      <c r="B72" t="inlineStr">
        <is>
          <t>Wenona OSHCLUB</t>
        </is>
      </c>
      <c r="C72" t="inlineStr">
        <is>
          <t>OSHCLUB PTY LTD</t>
        </is>
      </c>
      <c r="D72" t="inlineStr">
        <is>
          <t>NORTH SYDNEY</t>
        </is>
      </c>
      <c r="E72" t="inlineStr">
        <is>
          <t>2060</t>
        </is>
      </c>
      <c r="F72" t="n">
        <v>44</v>
      </c>
      <c r="G72" t="inlineStr">
        <is>
          <t>Meeting NQS</t>
        </is>
      </c>
      <c r="H72" t="inlineStr">
        <is>
          <t>No</t>
        </is>
      </c>
      <c r="I72" t="inlineStr">
        <is>
          <t>No</t>
        </is>
      </c>
      <c r="J72" t="inlineStr">
        <is>
          <t>Yes</t>
        </is>
      </c>
      <c r="K72" s="9" t="n">
        <v>41317</v>
      </c>
      <c r="L72" s="10" t="n"/>
      <c r="M72" s="10" t="n"/>
      <c r="N72">
        <f>IFERROR(VLOOKUP(UPPER(D72),Suburb_LGA_Map!$A:$B,2,FALSE),"")</f>
        <v/>
      </c>
      <c r="O72" s="3" t="n">
        <v>1</v>
      </c>
      <c r="P72">
        <f>IF(K72="",0,IF(K72&gt;=DATE(2021,1,1),1,0))</f>
        <v/>
      </c>
      <c r="Q72">
        <f>IF(L72="",0,IF(L72&lt;TIME(7,0,0),1,0))</f>
        <v/>
      </c>
      <c r="R72">
        <f>IF(M72="",0,IF(M72&gt;TIME(18,0,0),1,0))</f>
        <v/>
      </c>
      <c r="S72">
        <f>IF(AND(H72="Yes",O72=1,COUNTIFS($C$2:C72,C72,$N$2:N72,N72,$H$2:H72,"Yes",$O$2:O72,1)=1),1,0)</f>
        <v/>
      </c>
      <c r="T72">
        <f>SUMIFS($F$2:$F$294,$C$2:$C$294,C72,$N$2:$N$294,N72,$H$2:$H$294,"Yes",$O$2:$O$294,1)</f>
        <v/>
      </c>
    </row>
    <row r="73">
      <c r="A73" t="inlineStr">
        <is>
          <t>SE-00007960</t>
        </is>
      </c>
      <c r="B73" t="inlineStr">
        <is>
          <t>KU Bradfield Park Children's Centre</t>
        </is>
      </c>
      <c r="C73" t="inlineStr">
        <is>
          <t>KU Children's Services</t>
        </is>
      </c>
      <c r="D73" t="inlineStr">
        <is>
          <t>LINDFIELD</t>
        </is>
      </c>
      <c r="E73" t="inlineStr">
        <is>
          <t>2070</t>
        </is>
      </c>
      <c r="F73" t="n">
        <v>53</v>
      </c>
      <c r="G73" t="inlineStr">
        <is>
          <t>Meeting NQS</t>
        </is>
      </c>
      <c r="H73" t="inlineStr">
        <is>
          <t>Yes</t>
        </is>
      </c>
      <c r="I73" t="inlineStr">
        <is>
          <t>No</t>
        </is>
      </c>
      <c r="J73" t="inlineStr">
        <is>
          <t>No</t>
        </is>
      </c>
      <c r="K73" s="9" t="n">
        <v>39454</v>
      </c>
      <c r="L73" s="10" t="n">
        <v>0.3125</v>
      </c>
      <c r="M73" s="10" t="n">
        <v>0.75</v>
      </c>
      <c r="N73">
        <f>IFERROR(VLOOKUP(UPPER(D73),Suburb_LGA_Map!$A:$B,2,FALSE),"")</f>
        <v/>
      </c>
      <c r="O73" s="3" t="n">
        <v>1</v>
      </c>
      <c r="P73">
        <f>IF(K73="",0,IF(K73&gt;=DATE(2021,1,1),1,0))</f>
        <v/>
      </c>
      <c r="Q73">
        <f>IF(L73="",0,IF(L73&lt;TIME(7,0,0),1,0))</f>
        <v/>
      </c>
      <c r="R73">
        <f>IF(M73="",0,IF(M73&gt;TIME(18,0,0),1,0))</f>
        <v/>
      </c>
      <c r="S73">
        <f>IF(AND(H73="Yes",O73=1,COUNTIFS($C$2:C73,C73,$N$2:N73,N73,$H$2:H73,"Yes",$O$2:O73,1)=1),1,0)</f>
        <v/>
      </c>
      <c r="T73">
        <f>SUMIFS($F$2:$F$294,$C$2:$C$294,C73,$N$2:$N$294,N73,$H$2:$H$294,"Yes",$O$2:$O$294,1)</f>
        <v/>
      </c>
    </row>
    <row r="74">
      <c r="A74" t="inlineStr">
        <is>
          <t>SE-00007982</t>
        </is>
      </c>
      <c r="B74" t="inlineStr">
        <is>
          <t>KU - Fox Valley Preschool</t>
        </is>
      </c>
      <c r="C74" t="inlineStr">
        <is>
          <t>KU Children's Services</t>
        </is>
      </c>
      <c r="D74" t="inlineStr">
        <is>
          <t>WAHROONGA</t>
        </is>
      </c>
      <c r="E74" t="inlineStr">
        <is>
          <t>2076</t>
        </is>
      </c>
      <c r="F74" t="n">
        <v>30</v>
      </c>
      <c r="G74" t="inlineStr">
        <is>
          <t>Exceeding NQS</t>
        </is>
      </c>
      <c r="H74" t="inlineStr">
        <is>
          <t>No</t>
        </is>
      </c>
      <c r="I74" t="inlineStr">
        <is>
          <t>Yes</t>
        </is>
      </c>
      <c r="J74" t="inlineStr">
        <is>
          <t>No</t>
        </is>
      </c>
      <c r="K74" s="9" t="n">
        <v>39387</v>
      </c>
      <c r="L74" s="10" t="n">
        <v>0.3333333333333333</v>
      </c>
      <c r="M74" s="10" t="n">
        <v>0.6666666666666666</v>
      </c>
      <c r="N74">
        <f>IFERROR(VLOOKUP(UPPER(D74),Suburb_LGA_Map!$A:$B,2,FALSE),"")</f>
        <v/>
      </c>
      <c r="O74" s="3" t="n">
        <v>1</v>
      </c>
      <c r="P74">
        <f>IF(K74="",0,IF(K74&gt;=DATE(2021,1,1),1,0))</f>
        <v/>
      </c>
      <c r="Q74">
        <f>IF(L74="",0,IF(L74&lt;TIME(7,0,0),1,0))</f>
        <v/>
      </c>
      <c r="R74">
        <f>IF(M74="",0,IF(M74&gt;TIME(18,0,0),1,0))</f>
        <v/>
      </c>
      <c r="S74">
        <f>IF(AND(H74="Yes",O74=1,COUNTIFS($C$2:C74,C74,$N$2:N74,N74,$H$2:H74,"Yes",$O$2:O74,1)=1),1,0)</f>
        <v/>
      </c>
      <c r="T74">
        <f>SUMIFS($F$2:$F$294,$C$2:$C$294,C74,$N$2:$N$294,N74,$H$2:$H$294,"Yes",$O$2:$O$294,1)</f>
        <v/>
      </c>
    </row>
    <row r="75">
      <c r="A75" t="inlineStr">
        <is>
          <t>SE-00007988</t>
        </is>
      </c>
      <c r="B75" t="inlineStr">
        <is>
          <t>KU - Grandstand Preschool</t>
        </is>
      </c>
      <c r="C75" t="inlineStr">
        <is>
          <t>KU Children's Services</t>
        </is>
      </c>
      <c r="D75" t="inlineStr">
        <is>
          <t>NORTH SYDNEY</t>
        </is>
      </c>
      <c r="E75" t="inlineStr">
        <is>
          <t>2060</t>
        </is>
      </c>
      <c r="F75" t="n">
        <v>40</v>
      </c>
      <c r="G75" t="inlineStr">
        <is>
          <t>Meeting NQS</t>
        </is>
      </c>
      <c r="H75" t="inlineStr">
        <is>
          <t>No</t>
        </is>
      </c>
      <c r="I75" t="inlineStr">
        <is>
          <t>Yes</t>
        </is>
      </c>
      <c r="J75" t="inlineStr">
        <is>
          <t>No</t>
        </is>
      </c>
      <c r="K75" s="9" t="n">
        <v>40038</v>
      </c>
      <c r="L75" s="10" t="n">
        <v>0.3333333333333333</v>
      </c>
      <c r="M75" s="10" t="n">
        <v>0.6666666666666666</v>
      </c>
      <c r="N75">
        <f>IFERROR(VLOOKUP(UPPER(D75),Suburb_LGA_Map!$A:$B,2,FALSE),"")</f>
        <v/>
      </c>
      <c r="O75" s="3" t="n">
        <v>1</v>
      </c>
      <c r="P75">
        <f>IF(K75="",0,IF(K75&gt;=DATE(2021,1,1),1,0))</f>
        <v/>
      </c>
      <c r="Q75">
        <f>IF(L75="",0,IF(L75&lt;TIME(7,0,0),1,0))</f>
        <v/>
      </c>
      <c r="R75">
        <f>IF(M75="",0,IF(M75&gt;TIME(18,0,0),1,0))</f>
        <v/>
      </c>
      <c r="S75">
        <f>IF(AND(H75="Yes",O75=1,COUNTIFS($C$2:C75,C75,$N$2:N75,N75,$H$2:H75,"Yes",$O$2:O75,1)=1),1,0)</f>
        <v/>
      </c>
      <c r="T75">
        <f>SUMIFS($F$2:$F$294,$C$2:$C$294,C75,$N$2:$N$294,N75,$H$2:$H$294,"Yes",$O$2:$O$294,1)</f>
        <v/>
      </c>
    </row>
    <row r="76">
      <c r="A76" t="inlineStr">
        <is>
          <t>SE-00007991</t>
        </is>
      </c>
      <c r="B76" t="inlineStr">
        <is>
          <t>KU Greenwood Child Care Centre</t>
        </is>
      </c>
      <c r="C76" t="inlineStr">
        <is>
          <t>KU Children's Services</t>
        </is>
      </c>
      <c r="D76" t="inlineStr">
        <is>
          <t>NORTH SYDNEY</t>
        </is>
      </c>
      <c r="E76" t="inlineStr">
        <is>
          <t>2060</t>
        </is>
      </c>
      <c r="F76" t="n">
        <v>28</v>
      </c>
      <c r="G76" t="inlineStr">
        <is>
          <t>Exceeding NQS</t>
        </is>
      </c>
      <c r="H76" t="inlineStr">
        <is>
          <t>Yes</t>
        </is>
      </c>
      <c r="I76" t="inlineStr">
        <is>
          <t>No</t>
        </is>
      </c>
      <c r="J76" t="inlineStr">
        <is>
          <t>No</t>
        </is>
      </c>
      <c r="K76" s="9" t="n">
        <v>39332</v>
      </c>
      <c r="L76" s="10" t="n">
        <v>0.3125</v>
      </c>
      <c r="M76" s="10" t="n">
        <v>0.75</v>
      </c>
      <c r="N76">
        <f>IFERROR(VLOOKUP(UPPER(D76),Suburb_LGA_Map!$A:$B,2,FALSE),"")</f>
        <v/>
      </c>
      <c r="O76" s="3" t="n">
        <v>1</v>
      </c>
      <c r="P76">
        <f>IF(K76="",0,IF(K76&gt;=DATE(2021,1,1),1,0))</f>
        <v/>
      </c>
      <c r="Q76">
        <f>IF(L76="",0,IF(L76&lt;TIME(7,0,0),1,0))</f>
        <v/>
      </c>
      <c r="R76">
        <f>IF(M76="",0,IF(M76&gt;TIME(18,0,0),1,0))</f>
        <v/>
      </c>
      <c r="S76">
        <f>IF(AND(H76="Yes",O76=1,COUNTIFS($C$2:C76,C76,$N$2:N76,N76,$H$2:H76,"Yes",$O$2:O76,1)=1),1,0)</f>
        <v/>
      </c>
      <c r="T76">
        <f>SUMIFS($F$2:$F$294,$C$2:$C$294,C76,$N$2:$N$294,N76,$H$2:$H$294,"Yes",$O$2:$O$294,1)</f>
        <v/>
      </c>
    </row>
    <row r="77">
      <c r="A77" t="inlineStr">
        <is>
          <t>SE-00008004</t>
        </is>
      </c>
      <c r="B77" t="inlineStr">
        <is>
          <t>KU - Killara Park Pre-school</t>
        </is>
      </c>
      <c r="C77" t="inlineStr">
        <is>
          <t>KU Children's Services</t>
        </is>
      </c>
      <c r="D77" t="inlineStr">
        <is>
          <t>KILLARA</t>
        </is>
      </c>
      <c r="E77" t="inlineStr">
        <is>
          <t>2071</t>
        </is>
      </c>
      <c r="F77" t="n">
        <v>40</v>
      </c>
      <c r="G77" t="inlineStr">
        <is>
          <t>Exceeding NQS</t>
        </is>
      </c>
      <c r="H77" t="inlineStr">
        <is>
          <t>No</t>
        </is>
      </c>
      <c r="I77" t="inlineStr">
        <is>
          <t>Yes</t>
        </is>
      </c>
      <c r="J77" t="inlineStr">
        <is>
          <t>No</t>
        </is>
      </c>
      <c r="K77" s="9" t="n">
        <v>39387</v>
      </c>
      <c r="L77" s="10" t="n">
        <v>0.3333333333333333</v>
      </c>
      <c r="M77" s="10" t="n">
        <v>0.6666666666666666</v>
      </c>
      <c r="N77">
        <f>IFERROR(VLOOKUP(UPPER(D77),Suburb_LGA_Map!$A:$B,2,FALSE),"")</f>
        <v/>
      </c>
      <c r="O77" s="3" t="n">
        <v>1</v>
      </c>
      <c r="P77">
        <f>IF(K77="",0,IF(K77&gt;=DATE(2021,1,1),1,0))</f>
        <v/>
      </c>
      <c r="Q77">
        <f>IF(L77="",0,IF(L77&lt;TIME(7,0,0),1,0))</f>
        <v/>
      </c>
      <c r="R77">
        <f>IF(M77="",0,IF(M77&gt;TIME(18,0,0),1,0))</f>
        <v/>
      </c>
      <c r="S77">
        <f>IF(AND(H77="Yes",O77=1,COUNTIFS($C$2:C77,C77,$N$2:N77,N77,$H$2:H77,"Yes",$O$2:O77,1)=1),1,0)</f>
        <v/>
      </c>
      <c r="T77">
        <f>SUMIFS($F$2:$F$294,$C$2:$C$294,C77,$N$2:$N$294,N77,$H$2:$H$294,"Yes",$O$2:$O$294,1)</f>
        <v/>
      </c>
    </row>
    <row r="78">
      <c r="A78" t="inlineStr">
        <is>
          <t>SE-00008044</t>
        </is>
      </c>
      <c r="B78" t="inlineStr">
        <is>
          <t>KU - South Turramurra Preschool</t>
        </is>
      </c>
      <c r="C78" t="inlineStr">
        <is>
          <t>KU Children's Services</t>
        </is>
      </c>
      <c r="D78" t="inlineStr">
        <is>
          <t>TURRAMURRA</t>
        </is>
      </c>
      <c r="E78" t="inlineStr">
        <is>
          <t>2074</t>
        </is>
      </c>
      <c r="F78" t="n">
        <v>35</v>
      </c>
      <c r="G78" t="inlineStr">
        <is>
          <t>Exceeding NQS</t>
        </is>
      </c>
      <c r="H78" t="inlineStr">
        <is>
          <t>No</t>
        </is>
      </c>
      <c r="I78" t="inlineStr">
        <is>
          <t>Yes</t>
        </is>
      </c>
      <c r="J78" t="inlineStr">
        <is>
          <t>No</t>
        </is>
      </c>
      <c r="K78" s="9" t="n">
        <v>39021</v>
      </c>
      <c r="L78" s="10" t="n">
        <v>0.34375</v>
      </c>
      <c r="M78" s="10" t="n">
        <v>0.65625</v>
      </c>
      <c r="N78">
        <f>IFERROR(VLOOKUP(UPPER(D78),Suburb_LGA_Map!$A:$B,2,FALSE),"")</f>
        <v/>
      </c>
      <c r="O78" s="3" t="n">
        <v>1</v>
      </c>
      <c r="P78">
        <f>IF(K78="",0,IF(K78&gt;=DATE(2021,1,1),1,0))</f>
        <v/>
      </c>
      <c r="Q78">
        <f>IF(L78="",0,IF(L78&lt;TIME(7,0,0),1,0))</f>
        <v/>
      </c>
      <c r="R78">
        <f>IF(M78="",0,IF(M78&gt;TIME(18,0,0),1,0))</f>
        <v/>
      </c>
      <c r="S78">
        <f>IF(AND(H78="Yes",O78=1,COUNTIFS($C$2:C78,C78,$N$2:N78,N78,$H$2:H78,"Yes",$O$2:O78,1)=1),1,0)</f>
        <v/>
      </c>
      <c r="T78">
        <f>SUMIFS($F$2:$F$294,$C$2:$C$294,C78,$N$2:$N$294,N78,$H$2:$H$294,"Yes",$O$2:$O$294,1)</f>
        <v/>
      </c>
    </row>
    <row r="79">
      <c r="A79" t="inlineStr">
        <is>
          <t>SE-00008046</t>
        </is>
      </c>
      <c r="B79" t="inlineStr">
        <is>
          <t>KU - St Ives Barra-Brui Pre-school</t>
        </is>
      </c>
      <c r="C79" t="inlineStr">
        <is>
          <t>KU Children's Services</t>
        </is>
      </c>
      <c r="D79" t="inlineStr">
        <is>
          <t>ST IVES</t>
        </is>
      </c>
      <c r="E79" t="inlineStr">
        <is>
          <t>2075</t>
        </is>
      </c>
      <c r="F79" t="n">
        <v>40</v>
      </c>
      <c r="G79" t="inlineStr">
        <is>
          <t>Exceeding NQS</t>
        </is>
      </c>
      <c r="H79" t="inlineStr">
        <is>
          <t>No</t>
        </is>
      </c>
      <c r="I79" t="inlineStr">
        <is>
          <t>Yes</t>
        </is>
      </c>
      <c r="J79" t="inlineStr">
        <is>
          <t>No</t>
        </is>
      </c>
      <c r="K79" s="9" t="n">
        <v>39704</v>
      </c>
      <c r="L79" s="10" t="n">
        <v>0.3333333333333333</v>
      </c>
      <c r="M79" s="10" t="n">
        <v>0.6666666666666666</v>
      </c>
      <c r="N79">
        <f>IFERROR(VLOOKUP(UPPER(D79),Suburb_LGA_Map!$A:$B,2,FALSE),"")</f>
        <v/>
      </c>
      <c r="O79" s="3" t="n">
        <v>1</v>
      </c>
      <c r="P79">
        <f>IF(K79="",0,IF(K79&gt;=DATE(2021,1,1),1,0))</f>
        <v/>
      </c>
      <c r="Q79">
        <f>IF(L79="",0,IF(L79&lt;TIME(7,0,0),1,0))</f>
        <v/>
      </c>
      <c r="R79">
        <f>IF(M79="",0,IF(M79&gt;TIME(18,0,0),1,0))</f>
        <v/>
      </c>
      <c r="S79">
        <f>IF(AND(H79="Yes",O79=1,COUNTIFS($C$2:C79,C79,$N$2:N79,N79,$H$2:H79,"Yes",$O$2:O79,1)=1),1,0)</f>
        <v/>
      </c>
      <c r="T79">
        <f>SUMIFS($F$2:$F$294,$C$2:$C$294,C79,$N$2:$N$294,N79,$H$2:$H$294,"Yes",$O$2:$O$294,1)</f>
        <v/>
      </c>
    </row>
    <row r="80">
      <c r="A80" t="inlineStr">
        <is>
          <t>SE-00008050</t>
        </is>
      </c>
      <c r="B80" t="inlineStr">
        <is>
          <t>KU - The Chase Preschool</t>
        </is>
      </c>
      <c r="C80" t="inlineStr">
        <is>
          <t>KU Children's Services</t>
        </is>
      </c>
      <c r="D80" t="inlineStr">
        <is>
          <t>ROSEVILLE CHASE</t>
        </is>
      </c>
      <c r="E80" t="inlineStr">
        <is>
          <t>2069</t>
        </is>
      </c>
      <c r="F80" t="n">
        <v>40</v>
      </c>
      <c r="G80" t="inlineStr">
        <is>
          <t>Exceeding NQS</t>
        </is>
      </c>
      <c r="H80" t="inlineStr">
        <is>
          <t>No</t>
        </is>
      </c>
      <c r="I80" t="inlineStr">
        <is>
          <t>Yes</t>
        </is>
      </c>
      <c r="J80" t="inlineStr">
        <is>
          <t>No</t>
        </is>
      </c>
      <c r="K80" s="9" t="n">
        <v>39843</v>
      </c>
      <c r="L80" s="10" t="n">
        <v>0.3333333333333333</v>
      </c>
      <c r="M80" s="10" t="n">
        <v>0.6666666666666666</v>
      </c>
      <c r="N80">
        <f>IFERROR(VLOOKUP(UPPER(D80),Suburb_LGA_Map!$A:$B,2,FALSE),"")</f>
        <v/>
      </c>
      <c r="O80" s="3" t="n">
        <v>1</v>
      </c>
      <c r="P80">
        <f>IF(K80="",0,IF(K80&gt;=DATE(2021,1,1),1,0))</f>
        <v/>
      </c>
      <c r="Q80">
        <f>IF(L80="",0,IF(L80&lt;TIME(7,0,0),1,0))</f>
        <v/>
      </c>
      <c r="R80">
        <f>IF(M80="",0,IF(M80&gt;TIME(18,0,0),1,0))</f>
        <v/>
      </c>
      <c r="S80">
        <f>IF(AND(H80="Yes",O80=1,COUNTIFS($C$2:C80,C80,$N$2:N80,N80,$H$2:H80,"Yes",$O$2:O80,1)=1),1,0)</f>
        <v/>
      </c>
      <c r="T80">
        <f>SUMIFS($F$2:$F$294,$C$2:$C$294,C80,$N$2:$N$294,N80,$H$2:$H$294,"Yes",$O$2:$O$294,1)</f>
        <v/>
      </c>
    </row>
    <row r="81">
      <c r="A81" t="inlineStr">
        <is>
          <t>SE-00008054</t>
        </is>
      </c>
      <c r="B81" t="inlineStr">
        <is>
          <t>KU - Wahroonga Preschool</t>
        </is>
      </c>
      <c r="C81" t="inlineStr">
        <is>
          <t>KU Children's Services</t>
        </is>
      </c>
      <c r="D81" t="inlineStr">
        <is>
          <t>WAHROONGA</t>
        </is>
      </c>
      <c r="E81" t="inlineStr">
        <is>
          <t>2076</t>
        </is>
      </c>
      <c r="F81" t="n">
        <v>40</v>
      </c>
      <c r="G81" t="inlineStr">
        <is>
          <t>Exceeding NQS</t>
        </is>
      </c>
      <c r="H81" t="inlineStr">
        <is>
          <t>No</t>
        </is>
      </c>
      <c r="I81" t="inlineStr">
        <is>
          <t>Yes</t>
        </is>
      </c>
      <c r="J81" t="inlineStr">
        <is>
          <t>No</t>
        </is>
      </c>
      <c r="K81" s="9" t="n">
        <v>39756</v>
      </c>
      <c r="L81" s="10" t="n">
        <v>0.3333333333333333</v>
      </c>
      <c r="M81" s="10" t="n">
        <v>0.6666666666666666</v>
      </c>
      <c r="N81">
        <f>IFERROR(VLOOKUP(UPPER(D81),Suburb_LGA_Map!$A:$B,2,FALSE),"")</f>
        <v/>
      </c>
      <c r="O81" s="3" t="n">
        <v>1</v>
      </c>
      <c r="P81">
        <f>IF(K81="",0,IF(K81&gt;=DATE(2021,1,1),1,0))</f>
        <v/>
      </c>
      <c r="Q81">
        <f>IF(L81="",0,IF(L81&lt;TIME(7,0,0),1,0))</f>
        <v/>
      </c>
      <c r="R81">
        <f>IF(M81="",0,IF(M81&gt;TIME(18,0,0),1,0))</f>
        <v/>
      </c>
      <c r="S81">
        <f>IF(AND(H81="Yes",O81=1,COUNTIFS($C$2:C81,C81,$N$2:N81,N81,$H$2:H81,"Yes",$O$2:O81,1)=1),1,0)</f>
        <v/>
      </c>
      <c r="T81">
        <f>SUMIFS($F$2:$F$294,$C$2:$C$294,C81,$N$2:$N$294,N81,$H$2:$H$294,"Yes",$O$2:$O$294,1)</f>
        <v/>
      </c>
    </row>
    <row r="82">
      <c r="A82" t="inlineStr">
        <is>
          <t>SE-00008058</t>
        </is>
      </c>
      <c r="B82" t="inlineStr">
        <is>
          <t>KU - West Pymble Preschool</t>
        </is>
      </c>
      <c r="C82" t="inlineStr">
        <is>
          <t>KU Children's Services</t>
        </is>
      </c>
      <c r="D82" t="inlineStr">
        <is>
          <t>PYMBLE</t>
        </is>
      </c>
      <c r="E82" t="inlineStr">
        <is>
          <t>2073</t>
        </is>
      </c>
      <c r="F82" t="n">
        <v>50</v>
      </c>
      <c r="G82" t="inlineStr">
        <is>
          <t>Exceeding NQS</t>
        </is>
      </c>
      <c r="H82" t="inlineStr">
        <is>
          <t>No</t>
        </is>
      </c>
      <c r="I82" t="inlineStr">
        <is>
          <t>Yes</t>
        </is>
      </c>
      <c r="J82" t="inlineStr">
        <is>
          <t>No</t>
        </is>
      </c>
      <c r="K82" s="9" t="n">
        <v>39386</v>
      </c>
      <c r="L82" s="10" t="n">
        <v>0.3333333333333333</v>
      </c>
      <c r="M82" s="10" t="n">
        <v>0.6666666666666666</v>
      </c>
      <c r="N82">
        <f>IFERROR(VLOOKUP(UPPER(D82),Suburb_LGA_Map!$A:$B,2,FALSE),"")</f>
        <v/>
      </c>
      <c r="O82" s="3" t="n">
        <v>1</v>
      </c>
      <c r="P82">
        <f>IF(K82="",0,IF(K82&gt;=DATE(2021,1,1),1,0))</f>
        <v/>
      </c>
      <c r="Q82">
        <f>IF(L82="",0,IF(L82&lt;TIME(7,0,0),1,0))</f>
        <v/>
      </c>
      <c r="R82">
        <f>IF(M82="",0,IF(M82&gt;TIME(18,0,0),1,0))</f>
        <v/>
      </c>
      <c r="S82">
        <f>IF(AND(H82="Yes",O82=1,COUNTIFS($C$2:C82,C82,$N$2:N82,N82,$H$2:H82,"Yes",$O$2:O82,1)=1),1,0)</f>
        <v/>
      </c>
      <c r="T82">
        <f>SUMIFS($F$2:$F$294,$C$2:$C$294,C82,$N$2:$N$294,N82,$H$2:$H$294,"Yes",$O$2:$O$294,1)</f>
        <v/>
      </c>
    </row>
    <row r="83">
      <c r="A83" t="inlineStr">
        <is>
          <t>SE-00016848</t>
        </is>
      </c>
      <c r="B83" t="inlineStr">
        <is>
          <t>Little Gems Early Learning Centre Kingsgrove</t>
        </is>
      </c>
      <c r="C83" t="inlineStr">
        <is>
          <t>LITTLE GEMS EARLY LEARNING CENTRE KINGSGROVE PTY LTD</t>
        </is>
      </c>
      <c r="D83" t="inlineStr">
        <is>
          <t>KINGSGROVE</t>
        </is>
      </c>
      <c r="E83" t="inlineStr">
        <is>
          <t>2208</t>
        </is>
      </c>
      <c r="F83" t="n">
        <v>25</v>
      </c>
      <c r="G83" t="inlineStr">
        <is>
          <t>Meeting NQS</t>
        </is>
      </c>
      <c r="H83" t="inlineStr">
        <is>
          <t>Yes</t>
        </is>
      </c>
      <c r="I83" t="inlineStr">
        <is>
          <t>No</t>
        </is>
      </c>
      <c r="J83" t="inlineStr">
        <is>
          <t>No</t>
        </is>
      </c>
      <c r="K83" s="9" t="n">
        <v>45575</v>
      </c>
      <c r="L83" s="10" t="n">
        <v>0.2916666666666667</v>
      </c>
      <c r="M83" s="10" t="n">
        <v>0.75</v>
      </c>
      <c r="N83">
        <f>IFERROR(VLOOKUP(UPPER(D83),Suburb_LGA_Map!$A:$B,2,FALSE),"")</f>
        <v/>
      </c>
      <c r="O83" s="3" t="n">
        <v>1</v>
      </c>
      <c r="P83">
        <f>IF(K83="",0,IF(K83&gt;=DATE(2021,1,1),1,0))</f>
        <v/>
      </c>
      <c r="Q83">
        <f>IF(L83="",0,IF(L83&lt;TIME(7,0,0),1,0))</f>
        <v/>
      </c>
      <c r="R83">
        <f>IF(M83="",0,IF(M83&gt;TIME(18,0,0),1,0))</f>
        <v/>
      </c>
      <c r="S83">
        <f>IF(AND(H83="Yes",O83=1,COUNTIFS($C$2:C83,C83,$N$2:N83,N83,$H$2:H83,"Yes",$O$2:O83,1)=1),1,0)</f>
        <v/>
      </c>
      <c r="T83">
        <f>SUMIFS($F$2:$F$294,$C$2:$C$294,C83,$N$2:$N$294,N83,$H$2:$H$294,"Yes",$O$2:$O$294,1)</f>
        <v/>
      </c>
    </row>
    <row r="84">
      <c r="A84" t="inlineStr">
        <is>
          <t>SE-40010428</t>
        </is>
      </c>
      <c r="B84" t="inlineStr">
        <is>
          <t>Curious Minds Early Learning Centre Crows Nest</t>
        </is>
      </c>
      <c r="C84" t="inlineStr">
        <is>
          <t>CURIOUS MINDS EARLY LEARNING CENTRE PTY LTD</t>
        </is>
      </c>
      <c r="D84" t="inlineStr">
        <is>
          <t>CROWS NEST</t>
        </is>
      </c>
      <c r="E84" t="inlineStr">
        <is>
          <t>2065</t>
        </is>
      </c>
      <c r="F84" t="n">
        <v>14</v>
      </c>
      <c r="G84" t="inlineStr">
        <is>
          <t>Meeting NQS</t>
        </is>
      </c>
      <c r="H84" t="inlineStr">
        <is>
          <t>Yes</t>
        </is>
      </c>
      <c r="I84" t="inlineStr">
        <is>
          <t>No</t>
        </is>
      </c>
      <c r="J84" t="inlineStr">
        <is>
          <t>No</t>
        </is>
      </c>
      <c r="K84" s="9" t="n">
        <v>43182</v>
      </c>
      <c r="L84" s="10" t="n">
        <v>0.3125</v>
      </c>
      <c r="M84" s="10" t="n">
        <v>0.75</v>
      </c>
      <c r="N84">
        <f>IFERROR(VLOOKUP(UPPER(D84),Suburb_LGA_Map!$A:$B,2,FALSE),"")</f>
        <v/>
      </c>
      <c r="O84" s="3" t="n">
        <v>1</v>
      </c>
      <c r="P84">
        <f>IF(K84="",0,IF(K84&gt;=DATE(2021,1,1),1,0))</f>
        <v/>
      </c>
      <c r="Q84">
        <f>IF(L84="",0,IF(L84&lt;TIME(7,0,0),1,0))</f>
        <v/>
      </c>
      <c r="R84">
        <f>IF(M84="",0,IF(M84&gt;TIME(18,0,0),1,0))</f>
        <v/>
      </c>
      <c r="S84">
        <f>IF(AND(H84="Yes",O84=1,COUNTIFS($C$2:C84,C84,$N$2:N84,N84,$H$2:H84,"Yes",$O$2:O84,1)=1),1,0)</f>
        <v/>
      </c>
      <c r="T84">
        <f>SUMIFS($F$2:$F$294,$C$2:$C$294,C84,$N$2:$N$294,N84,$H$2:$H$294,"Yes",$O$2:$O$294,1)</f>
        <v/>
      </c>
    </row>
    <row r="85">
      <c r="A85" t="inlineStr">
        <is>
          <t>SE-40010431</t>
        </is>
      </c>
      <c r="B85" t="inlineStr">
        <is>
          <t>KCS OSHC Kyeemagh</t>
        </is>
      </c>
      <c r="C85" t="inlineStr">
        <is>
          <t>Kogarah Community Services Incorporated</t>
        </is>
      </c>
      <c r="D85" t="inlineStr">
        <is>
          <t>KYEEMAGH</t>
        </is>
      </c>
      <c r="E85" t="inlineStr">
        <is>
          <t>2216</t>
        </is>
      </c>
      <c r="F85" t="n">
        <v>55</v>
      </c>
      <c r="G85" t="inlineStr">
        <is>
          <t>Exceeding NQS</t>
        </is>
      </c>
      <c r="H85" t="inlineStr">
        <is>
          <t>No</t>
        </is>
      </c>
      <c r="I85" t="inlineStr">
        <is>
          <t>No</t>
        </is>
      </c>
      <c r="J85" t="inlineStr">
        <is>
          <t>Yes</t>
        </is>
      </c>
      <c r="K85" s="9" t="n">
        <v>43144</v>
      </c>
      <c r="L85" s="10" t="n"/>
      <c r="M85" s="10" t="n"/>
      <c r="N85">
        <f>IFERROR(VLOOKUP(UPPER(D85),Suburb_LGA_Map!$A:$B,2,FALSE),"")</f>
        <v/>
      </c>
      <c r="O85" s="3" t="n">
        <v>1</v>
      </c>
      <c r="P85">
        <f>IF(K85="",0,IF(K85&gt;=DATE(2021,1,1),1,0))</f>
        <v/>
      </c>
      <c r="Q85">
        <f>IF(L85="",0,IF(L85&lt;TIME(7,0,0),1,0))</f>
        <v/>
      </c>
      <c r="R85">
        <f>IF(M85="",0,IF(M85&gt;TIME(18,0,0),1,0))</f>
        <v/>
      </c>
      <c r="S85">
        <f>IF(AND(H85="Yes",O85=1,COUNTIFS($C$2:C85,C85,$N$2:N85,N85,$H$2:H85,"Yes",$O$2:O85,1)=1),1,0)</f>
        <v/>
      </c>
      <c r="T85">
        <f>SUMIFS($F$2:$F$294,$C$2:$C$294,C85,$N$2:$N$294,N85,$H$2:$H$294,"Yes",$O$2:$O$294,1)</f>
        <v/>
      </c>
    </row>
    <row r="86">
      <c r="A86" t="inlineStr">
        <is>
          <t>SE-40010489</t>
        </is>
      </c>
      <c r="B86" t="inlineStr">
        <is>
          <t>Holy Family Outside School Hours Care Lindfield</t>
        </is>
      </c>
      <c r="C86" t="inlineStr">
        <is>
          <t>Catholiccare Diocese of Broken Bay</t>
        </is>
      </c>
      <c r="D86" t="inlineStr">
        <is>
          <t>LINDFIELD</t>
        </is>
      </c>
      <c r="E86" t="inlineStr">
        <is>
          <t>2070</t>
        </is>
      </c>
      <c r="F86" t="n">
        <v>120</v>
      </c>
      <c r="G86" t="inlineStr">
        <is>
          <t>Meeting NQS</t>
        </is>
      </c>
      <c r="H86" t="inlineStr">
        <is>
          <t>No</t>
        </is>
      </c>
      <c r="I86" t="inlineStr">
        <is>
          <t>No</t>
        </is>
      </c>
      <c r="J86" t="inlineStr">
        <is>
          <t>Yes</t>
        </is>
      </c>
      <c r="K86" s="9" t="n">
        <v>43117</v>
      </c>
      <c r="L86" s="10" t="n"/>
      <c r="M86" s="10" t="n"/>
      <c r="N86">
        <f>IFERROR(VLOOKUP(UPPER(D86),Suburb_LGA_Map!$A:$B,2,FALSE),"")</f>
        <v/>
      </c>
      <c r="O86" s="3" t="n">
        <v>1</v>
      </c>
      <c r="P86">
        <f>IF(K86="",0,IF(K86&gt;=DATE(2021,1,1),1,0))</f>
        <v/>
      </c>
      <c r="Q86">
        <f>IF(L86="",0,IF(L86&lt;TIME(7,0,0),1,0))</f>
        <v/>
      </c>
      <c r="R86">
        <f>IF(M86="",0,IF(M86&gt;TIME(18,0,0),1,0))</f>
        <v/>
      </c>
      <c r="S86">
        <f>IF(AND(H86="Yes",O86=1,COUNTIFS($C$2:C86,C86,$N$2:N86,N86,$H$2:H86,"Yes",$O$2:O86,1)=1),1,0)</f>
        <v/>
      </c>
      <c r="T86">
        <f>SUMIFS($F$2:$F$294,$C$2:$C$294,C86,$N$2:$N$294,N86,$H$2:$H$294,"Yes",$O$2:$O$294,1)</f>
        <v/>
      </c>
    </row>
    <row r="87">
      <c r="A87" t="inlineStr">
        <is>
          <t>SE-40010499</t>
        </is>
      </c>
      <c r="B87" t="inlineStr">
        <is>
          <t>Mini Masterminds- Brighton Le Sands</t>
        </is>
      </c>
      <c r="C87" t="inlineStr">
        <is>
          <t>MMZ Holdings PTY LTD</t>
        </is>
      </c>
      <c r="D87" t="inlineStr">
        <is>
          <t>BRIGHTON-LE-SANDS</t>
        </is>
      </c>
      <c r="E87" t="inlineStr">
        <is>
          <t>2216</t>
        </is>
      </c>
      <c r="F87" t="n">
        <v>51</v>
      </c>
      <c r="G87" t="inlineStr">
        <is>
          <t>Meeting NQS</t>
        </is>
      </c>
      <c r="H87" t="inlineStr">
        <is>
          <t>Yes</t>
        </is>
      </c>
      <c r="I87" t="inlineStr">
        <is>
          <t>No</t>
        </is>
      </c>
      <c r="J87" t="inlineStr">
        <is>
          <t>No</t>
        </is>
      </c>
      <c r="K87" s="9" t="n">
        <v>43110</v>
      </c>
      <c r="L87" s="10" t="n">
        <v>0.2916666666666667</v>
      </c>
      <c r="M87" s="10" t="n">
        <v>0.75</v>
      </c>
      <c r="N87">
        <f>IFERROR(VLOOKUP(UPPER(D87),Suburb_LGA_Map!$A:$B,2,FALSE),"")</f>
        <v/>
      </c>
      <c r="O87" s="3" t="n">
        <v>1</v>
      </c>
      <c r="P87">
        <f>IF(K87="",0,IF(K87&gt;=DATE(2021,1,1),1,0))</f>
        <v/>
      </c>
      <c r="Q87">
        <f>IF(L87="",0,IF(L87&lt;TIME(7,0,0),1,0))</f>
        <v/>
      </c>
      <c r="R87">
        <f>IF(M87="",0,IF(M87&gt;TIME(18,0,0),1,0))</f>
        <v/>
      </c>
      <c r="S87">
        <f>IF(AND(H87="Yes",O87=1,COUNTIFS($C$2:C87,C87,$N$2:N87,N87,$H$2:H87,"Yes",$O$2:O87,1)=1),1,0)</f>
        <v/>
      </c>
      <c r="T87">
        <f>SUMIFS($F$2:$F$294,$C$2:$C$294,C87,$N$2:$N$294,N87,$H$2:$H$294,"Yes",$O$2:$O$294,1)</f>
        <v/>
      </c>
    </row>
    <row r="88">
      <c r="A88" t="inlineStr">
        <is>
          <t>SE-40010503</t>
        </is>
      </c>
      <c r="B88" t="inlineStr">
        <is>
          <t>Fit Kidz Learning Centre Warrawee</t>
        </is>
      </c>
      <c r="C88" t="inlineStr">
        <is>
          <t>Fit Kidz Services Pty Ltd</t>
        </is>
      </c>
      <c r="D88" t="inlineStr">
        <is>
          <t>WARRAWEE</t>
        </is>
      </c>
      <c r="E88" t="inlineStr">
        <is>
          <t>2074</t>
        </is>
      </c>
      <c r="F88" t="n">
        <v>88</v>
      </c>
      <c r="G88" t="inlineStr">
        <is>
          <t>Exceeding NQS</t>
        </is>
      </c>
      <c r="H88" t="inlineStr">
        <is>
          <t>Yes</t>
        </is>
      </c>
      <c r="I88" t="inlineStr">
        <is>
          <t>No</t>
        </is>
      </c>
      <c r="J88" t="inlineStr">
        <is>
          <t>No</t>
        </is>
      </c>
      <c r="K88" s="9" t="n">
        <v>43202</v>
      </c>
      <c r="L88" s="10" t="n">
        <v>0.3125</v>
      </c>
      <c r="M88" s="10" t="n">
        <v>0.7708333333333334</v>
      </c>
      <c r="N88">
        <f>IFERROR(VLOOKUP(UPPER(D88),Suburb_LGA_Map!$A:$B,2,FALSE),"")</f>
        <v/>
      </c>
      <c r="O88" s="3" t="n">
        <v>1</v>
      </c>
      <c r="P88">
        <f>IF(K88="",0,IF(K88&gt;=DATE(2021,1,1),1,0))</f>
        <v/>
      </c>
      <c r="Q88">
        <f>IF(L88="",0,IF(L88&lt;TIME(7,0,0),1,0))</f>
        <v/>
      </c>
      <c r="R88">
        <f>IF(M88="",0,IF(M88&gt;TIME(18,0,0),1,0))</f>
        <v/>
      </c>
      <c r="S88">
        <f>IF(AND(H88="Yes",O88=1,COUNTIFS($C$2:C88,C88,$N$2:N88,N88,$H$2:H88,"Yes",$O$2:O88,1)=1),1,0)</f>
        <v/>
      </c>
      <c r="T88">
        <f>SUMIFS($F$2:$F$294,$C$2:$C$294,C88,$N$2:$N$294,N88,$H$2:$H$294,"Yes",$O$2:$O$294,1)</f>
        <v/>
      </c>
    </row>
    <row r="89">
      <c r="A89" t="inlineStr">
        <is>
          <t>SE-40010586</t>
        </is>
      </c>
      <c r="B89" t="inlineStr">
        <is>
          <t>Little Bees Childcare Rosebery</t>
        </is>
      </c>
      <c r="C89" t="inlineStr">
        <is>
          <t>LITTLE BEES CHILDCARE ROSEBERY PTY. LTD.</t>
        </is>
      </c>
      <c r="D89" t="inlineStr">
        <is>
          <t>ROSEBERY</t>
        </is>
      </c>
      <c r="E89" t="inlineStr">
        <is>
          <t>2018</t>
        </is>
      </c>
      <c r="F89" t="n">
        <v>80</v>
      </c>
      <c r="G89" t="inlineStr">
        <is>
          <t>Meeting NQS</t>
        </is>
      </c>
      <c r="H89" t="inlineStr">
        <is>
          <t>Yes</t>
        </is>
      </c>
      <c r="I89" t="inlineStr">
        <is>
          <t>No</t>
        </is>
      </c>
      <c r="J89" t="inlineStr">
        <is>
          <t>No</t>
        </is>
      </c>
      <c r="K89" s="9" t="n">
        <v>43234</v>
      </c>
      <c r="L89" s="10" t="n">
        <v>0.2916666666666667</v>
      </c>
      <c r="M89" s="10" t="n">
        <v>0.75</v>
      </c>
      <c r="N89">
        <f>IFERROR(VLOOKUP(UPPER(D89),Suburb_LGA_Map!$A:$B,2,FALSE),"")</f>
        <v/>
      </c>
      <c r="O89" s="3" t="n">
        <v>1</v>
      </c>
      <c r="P89">
        <f>IF(K89="",0,IF(K89&gt;=DATE(2021,1,1),1,0))</f>
        <v/>
      </c>
      <c r="Q89">
        <f>IF(L89="",0,IF(L89&lt;TIME(7,0,0),1,0))</f>
        <v/>
      </c>
      <c r="R89">
        <f>IF(M89="",0,IF(M89&gt;TIME(18,0,0),1,0))</f>
        <v/>
      </c>
      <c r="S89">
        <f>IF(AND(H89="Yes",O89=1,COUNTIFS($C$2:C89,C89,$N$2:N89,N89,$H$2:H89,"Yes",$O$2:O89,1)=1),1,0)</f>
        <v/>
      </c>
      <c r="T89">
        <f>SUMIFS($F$2:$F$294,$C$2:$C$294,C89,$N$2:$N$294,N89,$H$2:$H$294,"Yes",$O$2:$O$294,1)</f>
        <v/>
      </c>
    </row>
    <row r="90">
      <c r="A90" t="inlineStr">
        <is>
          <t>SE-40020411</t>
        </is>
      </c>
      <c r="B90" t="inlineStr">
        <is>
          <t>The Love Heart Early Education Centre</t>
        </is>
      </c>
      <c r="C90" t="inlineStr"/>
      <c r="D90" t="inlineStr">
        <is>
          <t>TURRAMURRA</t>
        </is>
      </c>
      <c r="E90" t="inlineStr">
        <is>
          <t>2074</t>
        </is>
      </c>
      <c r="F90" t="n">
        <v>43</v>
      </c>
      <c r="G90" t="inlineStr">
        <is>
          <t>Meeting NQS</t>
        </is>
      </c>
      <c r="H90" t="inlineStr">
        <is>
          <t>Yes</t>
        </is>
      </c>
      <c r="I90" t="inlineStr">
        <is>
          <t>No</t>
        </is>
      </c>
      <c r="J90" t="inlineStr">
        <is>
          <t>No</t>
        </is>
      </c>
      <c r="K90" s="9" t="n">
        <v>44321</v>
      </c>
      <c r="L90" s="10" t="n">
        <v>0.3125</v>
      </c>
      <c r="M90" s="10" t="n">
        <v>0.75</v>
      </c>
      <c r="N90">
        <f>IFERROR(VLOOKUP(UPPER(D90),Suburb_LGA_Map!$A:$B,2,FALSE),"")</f>
        <v/>
      </c>
      <c r="O90" s="3" t="n">
        <v>1</v>
      </c>
      <c r="P90">
        <f>IF(K90="",0,IF(K90&gt;=DATE(2021,1,1),1,0))</f>
        <v/>
      </c>
      <c r="Q90">
        <f>IF(L90="",0,IF(L90&lt;TIME(7,0,0),1,0))</f>
        <v/>
      </c>
      <c r="R90">
        <f>IF(M90="",0,IF(M90&gt;TIME(18,0,0),1,0))</f>
        <v/>
      </c>
      <c r="S90">
        <f>IF(AND(H90="Yes",O90=1,COUNTIFS($C$2:C90,C90,$N$2:N90,N90,$H$2:H90,"Yes",$O$2:O90,1)=1),1,0)</f>
        <v/>
      </c>
      <c r="T90">
        <f>SUMIFS($F$2:$F$294,$C$2:$C$294,C90,$N$2:$N$294,N90,$H$2:$H$294,"Yes",$O$2:$O$294,1)</f>
        <v/>
      </c>
    </row>
    <row r="91">
      <c r="A91" t="inlineStr">
        <is>
          <t>SE-00009065</t>
        </is>
      </c>
      <c r="B91" t="inlineStr">
        <is>
          <t>St Ives Chase Kindergarten</t>
        </is>
      </c>
      <c r="C91" t="inlineStr">
        <is>
          <t>Eikoh Seminar Australia Pty Limited</t>
        </is>
      </c>
      <c r="D91" t="inlineStr">
        <is>
          <t>ST IVES</t>
        </is>
      </c>
      <c r="E91" t="inlineStr">
        <is>
          <t>2075</t>
        </is>
      </c>
      <c r="F91" t="n">
        <v>40</v>
      </c>
      <c r="G91" t="inlineStr">
        <is>
          <t>Meeting NQS</t>
        </is>
      </c>
      <c r="H91" t="inlineStr">
        <is>
          <t>Yes</t>
        </is>
      </c>
      <c r="I91" t="inlineStr">
        <is>
          <t>Yes</t>
        </is>
      </c>
      <c r="J91" t="inlineStr">
        <is>
          <t>No</t>
        </is>
      </c>
      <c r="K91" s="9" t="n">
        <v>39048</v>
      </c>
      <c r="L91" s="10" t="n">
        <v>0.2916666666666667</v>
      </c>
      <c r="M91" s="10" t="n">
        <v>0.75</v>
      </c>
      <c r="N91">
        <f>IFERROR(VLOOKUP(UPPER(D91),Suburb_LGA_Map!$A:$B,2,FALSE),"")</f>
        <v/>
      </c>
      <c r="O91" s="3" t="n">
        <v>1</v>
      </c>
      <c r="P91">
        <f>IF(K91="",0,IF(K91&gt;=DATE(2021,1,1),1,0))</f>
        <v/>
      </c>
      <c r="Q91">
        <f>IF(L91="",0,IF(L91&lt;TIME(7,0,0),1,0))</f>
        <v/>
      </c>
      <c r="R91">
        <f>IF(M91="",0,IF(M91&gt;TIME(18,0,0),1,0))</f>
        <v/>
      </c>
      <c r="S91">
        <f>IF(AND(H91="Yes",O91=1,COUNTIFS($C$2:C91,C91,$N$2:N91,N91,$H$2:H91,"Yes",$O$2:O91,1)=1),1,0)</f>
        <v/>
      </c>
      <c r="T91">
        <f>SUMIFS($F$2:$F$294,$C$2:$C$294,C91,$N$2:$N$294,N91,$H$2:$H$294,"Yes",$O$2:$O$294,1)</f>
        <v/>
      </c>
    </row>
    <row r="92">
      <c r="A92" t="inlineStr">
        <is>
          <t>SE-00009066</t>
        </is>
      </c>
      <c r="B92" t="inlineStr">
        <is>
          <t>St Ives Preschool Kindergarten</t>
        </is>
      </c>
      <c r="C92" t="inlineStr">
        <is>
          <t>St. Ives Pre-School Kindergarten Association</t>
        </is>
      </c>
      <c r="D92" t="inlineStr">
        <is>
          <t>ST IVES</t>
        </is>
      </c>
      <c r="E92" t="inlineStr">
        <is>
          <t>2075</t>
        </is>
      </c>
      <c r="F92" t="n">
        <v>40</v>
      </c>
      <c r="G92" t="inlineStr">
        <is>
          <t>Exceeding NQS</t>
        </is>
      </c>
      <c r="H92" t="inlineStr">
        <is>
          <t>No</t>
        </is>
      </c>
      <c r="I92" t="inlineStr">
        <is>
          <t>Yes</t>
        </is>
      </c>
      <c r="J92" t="inlineStr">
        <is>
          <t>No</t>
        </is>
      </c>
      <c r="K92" s="9" t="n">
        <v>39616</v>
      </c>
      <c r="L92" s="10" t="n"/>
      <c r="M92" s="10" t="n"/>
      <c r="N92">
        <f>IFERROR(VLOOKUP(UPPER(D92),Suburb_LGA_Map!$A:$B,2,FALSE),"")</f>
        <v/>
      </c>
      <c r="O92" s="3" t="n">
        <v>1</v>
      </c>
      <c r="P92">
        <f>IF(K92="",0,IF(K92&gt;=DATE(2021,1,1),1,0))</f>
        <v/>
      </c>
      <c r="Q92">
        <f>IF(L92="",0,IF(L92&lt;TIME(7,0,0),1,0))</f>
        <v/>
      </c>
      <c r="R92">
        <f>IF(M92="",0,IF(M92&gt;TIME(18,0,0),1,0))</f>
        <v/>
      </c>
      <c r="S92">
        <f>IF(AND(H92="Yes",O92=1,COUNTIFS($C$2:C92,C92,$N$2:N92,N92,$H$2:H92,"Yes",$O$2:O92,1)=1),1,0)</f>
        <v/>
      </c>
      <c r="T92">
        <f>SUMIFS($F$2:$F$294,$C$2:$C$294,C92,$N$2:$N$294,N92,$H$2:$H$294,"Yes",$O$2:$O$294,1)</f>
        <v/>
      </c>
    </row>
    <row r="93">
      <c r="A93" t="inlineStr">
        <is>
          <t>SE-00009068</t>
        </is>
      </c>
      <c r="B93" t="inlineStr">
        <is>
          <t>St Johns Child Care Centre</t>
        </is>
      </c>
      <c r="C93" t="inlineStr">
        <is>
          <t>The Uniting Church In Australia Property Trust (NSW)</t>
        </is>
      </c>
      <c r="D93" t="inlineStr">
        <is>
          <t>NEUTRAL BAY</t>
        </is>
      </c>
      <c r="E93" t="inlineStr">
        <is>
          <t>2089</t>
        </is>
      </c>
      <c r="F93" t="n">
        <v>44</v>
      </c>
      <c r="G93" t="inlineStr">
        <is>
          <t>Meeting NQS</t>
        </is>
      </c>
      <c r="H93" t="inlineStr">
        <is>
          <t>Yes</t>
        </is>
      </c>
      <c r="I93" t="inlineStr">
        <is>
          <t>No</t>
        </is>
      </c>
      <c r="J93" t="inlineStr">
        <is>
          <t>No</t>
        </is>
      </c>
      <c r="K93" s="9" t="n">
        <v>39616</v>
      </c>
      <c r="L93" s="10" t="n">
        <v>0.3125</v>
      </c>
      <c r="M93" s="10" t="n">
        <v>0.75</v>
      </c>
      <c r="N93">
        <f>IFERROR(VLOOKUP(UPPER(D93),Suburb_LGA_Map!$A:$B,2,FALSE),"")</f>
        <v/>
      </c>
      <c r="O93" s="3" t="n">
        <v>1</v>
      </c>
      <c r="P93">
        <f>IF(K93="",0,IF(K93&gt;=DATE(2021,1,1),1,0))</f>
        <v/>
      </c>
      <c r="Q93">
        <f>IF(L93="",0,IF(L93&lt;TIME(7,0,0),1,0))</f>
        <v/>
      </c>
      <c r="R93">
        <f>IF(M93="",0,IF(M93&gt;TIME(18,0,0),1,0))</f>
        <v/>
      </c>
      <c r="S93">
        <f>IF(AND(H93="Yes",O93=1,COUNTIFS($C$2:C93,C93,$N$2:N93,N93,$H$2:H93,"Yes",$O$2:O93,1)=1),1,0)</f>
        <v/>
      </c>
      <c r="T93">
        <f>SUMIFS($F$2:$F$294,$C$2:$C$294,C93,$N$2:$N$294,N93,$H$2:$H$294,"Yes",$O$2:$O$294,1)</f>
        <v/>
      </c>
    </row>
    <row r="94">
      <c r="A94" t="inlineStr">
        <is>
          <t>SE-00009083</t>
        </is>
      </c>
      <c r="B94" t="inlineStr">
        <is>
          <t>Integricare Brighton Le Sands</t>
        </is>
      </c>
      <c r="C94" t="inlineStr">
        <is>
          <t>Integricare Limited</t>
        </is>
      </c>
      <c r="D94" t="inlineStr">
        <is>
          <t>BRIGHTON-LE-SANDS</t>
        </is>
      </c>
      <c r="E94" t="inlineStr">
        <is>
          <t>2216</t>
        </is>
      </c>
      <c r="F94" t="n">
        <v>24</v>
      </c>
      <c r="G94" t="inlineStr">
        <is>
          <t>Meeting NQS</t>
        </is>
      </c>
      <c r="H94" t="inlineStr">
        <is>
          <t>No</t>
        </is>
      </c>
      <c r="I94" t="inlineStr">
        <is>
          <t>Yes</t>
        </is>
      </c>
      <c r="J94" t="inlineStr">
        <is>
          <t>No</t>
        </is>
      </c>
      <c r="K94" s="9" t="n">
        <v>39948</v>
      </c>
      <c r="L94" s="10" t="n">
        <v>0.3541666666666667</v>
      </c>
      <c r="M94" s="10" t="n">
        <v>0.6666666666666666</v>
      </c>
      <c r="N94">
        <f>IFERROR(VLOOKUP(UPPER(D94),Suburb_LGA_Map!$A:$B,2,FALSE),"")</f>
        <v/>
      </c>
      <c r="O94" s="3" t="n">
        <v>1</v>
      </c>
      <c r="P94">
        <f>IF(K94="",0,IF(K94&gt;=DATE(2021,1,1),1,0))</f>
        <v/>
      </c>
      <c r="Q94">
        <f>IF(L94="",0,IF(L94&lt;TIME(7,0,0),1,0))</f>
        <v/>
      </c>
      <c r="R94">
        <f>IF(M94="",0,IF(M94&gt;TIME(18,0,0),1,0))</f>
        <v/>
      </c>
      <c r="S94">
        <f>IF(AND(H94="Yes",O94=1,COUNTIFS($C$2:C94,C94,$N$2:N94,N94,$H$2:H94,"Yes",$O$2:O94,1)=1),1,0)</f>
        <v/>
      </c>
      <c r="T94">
        <f>SUMIFS($F$2:$F$294,$C$2:$C$294,C94,$N$2:$N$294,N94,$H$2:$H$294,"Yes",$O$2:$O$294,1)</f>
        <v/>
      </c>
    </row>
    <row r="95">
      <c r="A95" t="inlineStr">
        <is>
          <t>SE-00009102</t>
        </is>
      </c>
      <c r="B95" t="inlineStr">
        <is>
          <t>St Mary's Day Care Centre</t>
        </is>
      </c>
      <c r="C95" t="inlineStr">
        <is>
          <t>Mary &amp; Mina Pty Ltd</t>
        </is>
      </c>
      <c r="D95" t="inlineStr">
        <is>
          <t>BEXLEY</t>
        </is>
      </c>
      <c r="E95" t="inlineStr">
        <is>
          <t>2207</t>
        </is>
      </c>
      <c r="F95" t="n">
        <v>25</v>
      </c>
      <c r="G95" t="inlineStr">
        <is>
          <t>Exceeding NQS</t>
        </is>
      </c>
      <c r="H95" t="inlineStr">
        <is>
          <t>Yes</t>
        </is>
      </c>
      <c r="I95" t="inlineStr">
        <is>
          <t>No</t>
        </is>
      </c>
      <c r="J95" t="inlineStr">
        <is>
          <t>No</t>
        </is>
      </c>
      <c r="K95" s="9" t="n">
        <v>39657</v>
      </c>
      <c r="L95" s="10" t="n">
        <v>0.2916666666666667</v>
      </c>
      <c r="M95" s="10" t="n">
        <v>0.75</v>
      </c>
      <c r="N95">
        <f>IFERROR(VLOOKUP(UPPER(D95),Suburb_LGA_Map!$A:$B,2,FALSE),"")</f>
        <v/>
      </c>
      <c r="O95" s="3" t="n">
        <v>1</v>
      </c>
      <c r="P95">
        <f>IF(K95="",0,IF(K95&gt;=DATE(2021,1,1),1,0))</f>
        <v/>
      </c>
      <c r="Q95">
        <f>IF(L95="",0,IF(L95&lt;TIME(7,0,0),1,0))</f>
        <v/>
      </c>
      <c r="R95">
        <f>IF(M95="",0,IF(M95&gt;TIME(18,0,0),1,0))</f>
        <v/>
      </c>
      <c r="S95">
        <f>IF(AND(H95="Yes",O95=1,COUNTIFS($C$2:C95,C95,$N$2:N95,N95,$H$2:H95,"Yes",$O$2:O95,1)=1),1,0)</f>
        <v/>
      </c>
      <c r="T95">
        <f>SUMIFS($F$2:$F$294,$C$2:$C$294,C95,$N$2:$N$294,N95,$H$2:$H$294,"Yes",$O$2:$O$294,1)</f>
        <v/>
      </c>
    </row>
    <row r="96">
      <c r="A96" t="inlineStr">
        <is>
          <t>SE-00009125</t>
        </is>
      </c>
      <c r="B96" t="inlineStr">
        <is>
          <t>St Thomas Preschool</t>
        </is>
      </c>
      <c r="C96" t="inlineStr">
        <is>
          <t>St Thomas Preschool Ltd</t>
        </is>
      </c>
      <c r="D96" t="inlineStr">
        <is>
          <t>NORTH SYDNEY</t>
        </is>
      </c>
      <c r="E96" t="inlineStr">
        <is>
          <t>2060</t>
        </is>
      </c>
      <c r="F96" t="n">
        <v>27</v>
      </c>
      <c r="G96" t="inlineStr">
        <is>
          <t>Meeting NQS</t>
        </is>
      </c>
      <c r="H96" t="inlineStr">
        <is>
          <t>No</t>
        </is>
      </c>
      <c r="I96" t="inlineStr">
        <is>
          <t>Yes</t>
        </is>
      </c>
      <c r="J96" t="inlineStr">
        <is>
          <t>No</t>
        </is>
      </c>
      <c r="K96" s="9" t="n">
        <v>39121</v>
      </c>
      <c r="L96" s="10" t="n"/>
      <c r="M96" s="10" t="n"/>
      <c r="N96">
        <f>IFERROR(VLOOKUP(UPPER(D96),Suburb_LGA_Map!$A:$B,2,FALSE),"")</f>
        <v/>
      </c>
      <c r="O96" s="3" t="n">
        <v>1</v>
      </c>
      <c r="P96">
        <f>IF(K96="",0,IF(K96&gt;=DATE(2021,1,1),1,0))</f>
        <v/>
      </c>
      <c r="Q96">
        <f>IF(L96="",0,IF(L96&lt;TIME(7,0,0),1,0))</f>
        <v/>
      </c>
      <c r="R96">
        <f>IF(M96="",0,IF(M96&gt;TIME(18,0,0),1,0))</f>
        <v/>
      </c>
      <c r="S96">
        <f>IF(AND(H96="Yes",O96=1,COUNTIFS($C$2:C96,C96,$N$2:N96,N96,$H$2:H96,"Yes",$O$2:O96,1)=1),1,0)</f>
        <v/>
      </c>
      <c r="T96">
        <f>SUMIFS($F$2:$F$294,$C$2:$C$294,C96,$N$2:$N$294,N96,$H$2:$H$294,"Yes",$O$2:$O$294,1)</f>
        <v/>
      </c>
    </row>
    <row r="97">
      <c r="A97" t="inlineStr">
        <is>
          <t>SE-00009146</t>
        </is>
      </c>
      <c r="B97" t="inlineStr">
        <is>
          <t>Stepping Stones Early Learning Centre, Bexley</t>
        </is>
      </c>
      <c r="C97" t="inlineStr">
        <is>
          <t>STEPPING STONES KINDERGARTEN PTY LIMITED</t>
        </is>
      </c>
      <c r="D97" t="inlineStr">
        <is>
          <t>BEXLEY</t>
        </is>
      </c>
      <c r="E97" t="inlineStr">
        <is>
          <t>2207</t>
        </is>
      </c>
      <c r="F97" t="n">
        <v>44</v>
      </c>
      <c r="G97" t="inlineStr">
        <is>
          <t>Exceeding NQS</t>
        </is>
      </c>
      <c r="H97" t="inlineStr">
        <is>
          <t>Yes</t>
        </is>
      </c>
      <c r="I97" t="inlineStr">
        <is>
          <t>No</t>
        </is>
      </c>
      <c r="J97" t="inlineStr">
        <is>
          <t>No</t>
        </is>
      </c>
      <c r="K97" s="9" t="n">
        <v>40269</v>
      </c>
      <c r="L97" s="10" t="n">
        <v>0.3125</v>
      </c>
      <c r="M97" s="10" t="n">
        <v>0.75</v>
      </c>
      <c r="N97">
        <f>IFERROR(VLOOKUP(UPPER(D97),Suburb_LGA_Map!$A:$B,2,FALSE),"")</f>
        <v/>
      </c>
      <c r="O97" s="3" t="n">
        <v>1</v>
      </c>
      <c r="P97">
        <f>IF(K97="",0,IF(K97&gt;=DATE(2021,1,1),1,0))</f>
        <v/>
      </c>
      <c r="Q97">
        <f>IF(L97="",0,IF(L97&lt;TIME(7,0,0),1,0))</f>
        <v/>
      </c>
      <c r="R97">
        <f>IF(M97="",0,IF(M97&gt;TIME(18,0,0),1,0))</f>
        <v/>
      </c>
      <c r="S97">
        <f>IF(AND(H97="Yes",O97=1,COUNTIFS($C$2:C97,C97,$N$2:N97,N97,$H$2:H97,"Yes",$O$2:O97,1)=1),1,0)</f>
        <v/>
      </c>
      <c r="T97">
        <f>SUMIFS($F$2:$F$294,$C$2:$C$294,C97,$N$2:$N$294,N97,$H$2:$H$294,"Yes",$O$2:$O$294,1)</f>
        <v/>
      </c>
    </row>
    <row r="98">
      <c r="A98" t="inlineStr">
        <is>
          <t>SE-00018295</t>
        </is>
      </c>
      <c r="B98" t="inlineStr">
        <is>
          <t>TeamKids - North Sydney Public School</t>
        </is>
      </c>
      <c r="C98" t="inlineStr">
        <is>
          <t>TEAM HOLIDAY PTY LTD</t>
        </is>
      </c>
      <c r="D98" t="inlineStr">
        <is>
          <t>NORTH SYDNEY</t>
        </is>
      </c>
      <c r="E98" t="inlineStr">
        <is>
          <t>2060</t>
        </is>
      </c>
      <c r="F98" t="n">
        <v>228</v>
      </c>
      <c r="G98" t="inlineStr"/>
      <c r="H98" t="inlineStr">
        <is>
          <t>No</t>
        </is>
      </c>
      <c r="I98" t="inlineStr">
        <is>
          <t>No</t>
        </is>
      </c>
      <c r="J98" t="inlineStr">
        <is>
          <t>Yes</t>
        </is>
      </c>
      <c r="K98" s="9" t="n">
        <v>45975</v>
      </c>
      <c r="L98" s="10" t="n"/>
      <c r="M98" s="10" t="n"/>
      <c r="N98">
        <f>IFERROR(VLOOKUP(UPPER(D98),Suburb_LGA_Map!$A:$B,2,FALSE),"")</f>
        <v/>
      </c>
      <c r="O98" s="3" t="n">
        <v>1</v>
      </c>
      <c r="P98">
        <f>IF(K98="",0,IF(K98&gt;=DATE(2021,1,1),1,0))</f>
        <v/>
      </c>
      <c r="Q98">
        <f>IF(L98="",0,IF(L98&lt;TIME(7,0,0),1,0))</f>
        <v/>
      </c>
      <c r="R98">
        <f>IF(M98="",0,IF(M98&gt;TIME(18,0,0),1,0))</f>
        <v/>
      </c>
      <c r="S98">
        <f>IF(AND(H98="Yes",O98=1,COUNTIFS($C$2:C98,C98,$N$2:N98,N98,$H$2:H98,"Yes",$O$2:O98,1)=1),1,0)</f>
        <v/>
      </c>
      <c r="T98">
        <f>SUMIFS($F$2:$F$294,$C$2:$C$294,C98,$N$2:$N$294,N98,$H$2:$H$294,"Yes",$O$2:$O$294,1)</f>
        <v/>
      </c>
    </row>
    <row r="99">
      <c r="A99" t="inlineStr">
        <is>
          <t>SE-40015797</t>
        </is>
      </c>
      <c r="B99" t="inlineStr">
        <is>
          <t>The Love Heart Early Education Centre St Ives Chase</t>
        </is>
      </c>
      <c r="C99" t="inlineStr"/>
      <c r="D99" t="inlineStr">
        <is>
          <t>ST IVES CHASE</t>
        </is>
      </c>
      <c r="E99" t="inlineStr">
        <is>
          <t>2075</t>
        </is>
      </c>
      <c r="F99" t="n">
        <v>43</v>
      </c>
      <c r="G99" t="inlineStr">
        <is>
          <t>Meeting NQS</t>
        </is>
      </c>
      <c r="H99" t="inlineStr">
        <is>
          <t>Yes</t>
        </is>
      </c>
      <c r="I99" t="inlineStr">
        <is>
          <t>No</t>
        </is>
      </c>
      <c r="J99" t="inlineStr">
        <is>
          <t>No</t>
        </is>
      </c>
      <c r="K99" s="9" t="n">
        <v>43640</v>
      </c>
      <c r="L99" s="10" t="n">
        <v>0.3125</v>
      </c>
      <c r="M99" s="10" t="n">
        <v>0.75</v>
      </c>
      <c r="N99">
        <f>IFERROR(VLOOKUP(UPPER(D99),Suburb_LGA_Map!$A:$B,2,FALSE),"")</f>
        <v/>
      </c>
      <c r="O99" s="3" t="n">
        <v>1</v>
      </c>
      <c r="P99">
        <f>IF(K99="",0,IF(K99&gt;=DATE(2021,1,1),1,0))</f>
        <v/>
      </c>
      <c r="Q99">
        <f>IF(L99="",0,IF(L99&lt;TIME(7,0,0),1,0))</f>
        <v/>
      </c>
      <c r="R99">
        <f>IF(M99="",0,IF(M99&gt;TIME(18,0,0),1,0))</f>
        <v/>
      </c>
      <c r="S99">
        <f>IF(AND(H99="Yes",O99=1,COUNTIFS($C$2:C99,C99,$N$2:N99,N99,$H$2:H99,"Yes",$O$2:O99,1)=1),1,0)</f>
        <v/>
      </c>
      <c r="T99">
        <f>SUMIFS($F$2:$F$294,$C$2:$C$294,C99,$N$2:$N$294,N99,$H$2:$H$294,"Yes",$O$2:$O$294,1)</f>
        <v/>
      </c>
    </row>
    <row r="100">
      <c r="A100" t="inlineStr">
        <is>
          <t>SE-40015836</t>
        </is>
      </c>
      <c r="B100" t="inlineStr">
        <is>
          <t>Handprints Turramurra</t>
        </is>
      </c>
      <c r="C100" t="inlineStr">
        <is>
          <t>Handprints ELC Pty Ltd</t>
        </is>
      </c>
      <c r="D100" t="inlineStr">
        <is>
          <t>TURRAMURRA</t>
        </is>
      </c>
      <c r="E100" t="inlineStr">
        <is>
          <t>2074</t>
        </is>
      </c>
      <c r="F100" t="n">
        <v>48</v>
      </c>
      <c r="G100" t="inlineStr">
        <is>
          <t>Exceeding NQS</t>
        </is>
      </c>
      <c r="H100" t="inlineStr">
        <is>
          <t>Yes</t>
        </is>
      </c>
      <c r="I100" t="inlineStr">
        <is>
          <t>No</t>
        </is>
      </c>
      <c r="J100" t="inlineStr">
        <is>
          <t>No</t>
        </is>
      </c>
      <c r="K100" s="9" t="n">
        <v>43728</v>
      </c>
      <c r="L100" s="10" t="n">
        <v>0.2916666666666667</v>
      </c>
      <c r="M100" s="10" t="n">
        <v>0.75</v>
      </c>
      <c r="N100">
        <f>IFERROR(VLOOKUP(UPPER(D100),Suburb_LGA_Map!$A:$B,2,FALSE),"")</f>
        <v/>
      </c>
      <c r="O100" s="3" t="n">
        <v>1</v>
      </c>
      <c r="P100">
        <f>IF(K100="",0,IF(K100&gt;=DATE(2021,1,1),1,0))</f>
        <v/>
      </c>
      <c r="Q100">
        <f>IF(L100="",0,IF(L100&lt;TIME(7,0,0),1,0))</f>
        <v/>
      </c>
      <c r="R100">
        <f>IF(M100="",0,IF(M100&gt;TIME(18,0,0),1,0))</f>
        <v/>
      </c>
      <c r="S100">
        <f>IF(AND(H100="Yes",O100=1,COUNTIFS($C$2:C100,C100,$N$2:N100,N100,$H$2:H100,"Yes",$O$2:O100,1)=1),1,0)</f>
        <v/>
      </c>
      <c r="T100">
        <f>SUMIFS($F$2:$F$294,$C$2:$C$294,C100,$N$2:$N$294,N100,$H$2:$H$294,"Yes",$O$2:$O$294,1)</f>
        <v/>
      </c>
    </row>
    <row r="101">
      <c r="A101" t="inlineStr">
        <is>
          <t>SE-40015969</t>
        </is>
      </c>
      <c r="B101" t="inlineStr">
        <is>
          <t>Bluebird Early Education Roseville</t>
        </is>
      </c>
      <c r="C101" t="inlineStr">
        <is>
          <t>ROXELA PTY LTD</t>
        </is>
      </c>
      <c r="D101" t="inlineStr">
        <is>
          <t>ROSEVILLE</t>
        </is>
      </c>
      <c r="E101" t="inlineStr">
        <is>
          <t>2069</t>
        </is>
      </c>
      <c r="F101" t="n">
        <v>100</v>
      </c>
      <c r="G101" t="inlineStr">
        <is>
          <t>Meeting NQS</t>
        </is>
      </c>
      <c r="H101" t="inlineStr">
        <is>
          <t>Yes</t>
        </is>
      </c>
      <c r="I101" t="inlineStr">
        <is>
          <t>No</t>
        </is>
      </c>
      <c r="J101" t="inlineStr">
        <is>
          <t>No</t>
        </is>
      </c>
      <c r="K101" s="9" t="n">
        <v>44112</v>
      </c>
      <c r="L101" s="10" t="n">
        <v>0.2916666666666667</v>
      </c>
      <c r="M101" s="10" t="n">
        <v>0.75</v>
      </c>
      <c r="N101">
        <f>IFERROR(VLOOKUP(UPPER(D101),Suburb_LGA_Map!$A:$B,2,FALSE),"")</f>
        <v/>
      </c>
      <c r="O101" s="3" t="n">
        <v>1</v>
      </c>
      <c r="P101">
        <f>IF(K101="",0,IF(K101&gt;=DATE(2021,1,1),1,0))</f>
        <v/>
      </c>
      <c r="Q101">
        <f>IF(L101="",0,IF(L101&lt;TIME(7,0,0),1,0))</f>
        <v/>
      </c>
      <c r="R101">
        <f>IF(M101="",0,IF(M101&gt;TIME(18,0,0),1,0))</f>
        <v/>
      </c>
      <c r="S101">
        <f>IF(AND(H101="Yes",O101=1,COUNTIFS($C$2:C101,C101,$N$2:N101,N101,$H$2:H101,"Yes",$O$2:O101,1)=1),1,0)</f>
        <v/>
      </c>
      <c r="T101">
        <f>SUMIFS($F$2:$F$294,$C$2:$C$294,C101,$N$2:$N$294,N101,$H$2:$H$294,"Yes",$O$2:$O$294,1)</f>
        <v/>
      </c>
    </row>
    <row r="102">
      <c r="A102" t="inlineStr">
        <is>
          <t>SE-40016135</t>
        </is>
      </c>
      <c r="B102" t="inlineStr">
        <is>
          <t>Crows Nest Montessori Academy</t>
        </is>
      </c>
      <c r="C102" t="inlineStr">
        <is>
          <t>CROWS NEST MONTESSORI ACADEMY PTY LTD</t>
        </is>
      </c>
      <c r="D102" t="inlineStr">
        <is>
          <t>CROWS NEST</t>
        </is>
      </c>
      <c r="E102" t="inlineStr">
        <is>
          <t>2065</t>
        </is>
      </c>
      <c r="F102" t="n">
        <v>75</v>
      </c>
      <c r="G102" t="inlineStr">
        <is>
          <t>Meeting NQS</t>
        </is>
      </c>
      <c r="H102" t="inlineStr">
        <is>
          <t>Yes</t>
        </is>
      </c>
      <c r="I102" t="inlineStr">
        <is>
          <t>No</t>
        </is>
      </c>
      <c r="J102" t="inlineStr">
        <is>
          <t>No</t>
        </is>
      </c>
      <c r="K102" s="9" t="n">
        <v>43700</v>
      </c>
      <c r="L102" s="10" t="n">
        <v>0.3125</v>
      </c>
      <c r="M102" s="10" t="n">
        <v>0.75</v>
      </c>
      <c r="N102">
        <f>IFERROR(VLOOKUP(UPPER(D102),Suburb_LGA_Map!$A:$B,2,FALSE),"")</f>
        <v/>
      </c>
      <c r="O102" s="3" t="n">
        <v>1</v>
      </c>
      <c r="P102">
        <f>IF(K102="",0,IF(K102&gt;=DATE(2021,1,1),1,0))</f>
        <v/>
      </c>
      <c r="Q102">
        <f>IF(L102="",0,IF(L102&lt;TIME(7,0,0),1,0))</f>
        <v/>
      </c>
      <c r="R102">
        <f>IF(M102="",0,IF(M102&gt;TIME(18,0,0),1,0))</f>
        <v/>
      </c>
      <c r="S102">
        <f>IF(AND(H102="Yes",O102=1,COUNTIFS($C$2:C102,C102,$N$2:N102,N102,$H$2:H102,"Yes",$O$2:O102,1)=1),1,0)</f>
        <v/>
      </c>
      <c r="T102">
        <f>SUMIFS($F$2:$F$294,$C$2:$C$294,C102,$N$2:$N$294,N102,$H$2:$H$294,"Yes",$O$2:$O$294,1)</f>
        <v/>
      </c>
    </row>
    <row r="103">
      <c r="A103" t="inlineStr">
        <is>
          <t>SE-00011449</t>
        </is>
      </c>
      <c r="B103" t="inlineStr">
        <is>
          <t>Neutral Bay OOSH Incorporated</t>
        </is>
      </c>
      <c r="C103" t="inlineStr">
        <is>
          <t>Neutral Bay OOSH Incorporated</t>
        </is>
      </c>
      <c r="D103" t="inlineStr">
        <is>
          <t>NEUTRAL BAY</t>
        </is>
      </c>
      <c r="E103" t="inlineStr">
        <is>
          <t>2089</t>
        </is>
      </c>
      <c r="F103" t="n">
        <v>300</v>
      </c>
      <c r="G103" t="inlineStr">
        <is>
          <t>Meeting NQS</t>
        </is>
      </c>
      <c r="H103" t="inlineStr">
        <is>
          <t>No</t>
        </is>
      </c>
      <c r="I103" t="inlineStr">
        <is>
          <t>No</t>
        </is>
      </c>
      <c r="J103" t="inlineStr">
        <is>
          <t>Yes</t>
        </is>
      </c>
      <c r="K103" s="9" t="n">
        <v>41579</v>
      </c>
      <c r="L103" s="10" t="n"/>
      <c r="M103" s="10" t="n"/>
      <c r="N103">
        <f>IFERROR(VLOOKUP(UPPER(D103),Suburb_LGA_Map!$A:$B,2,FALSE),"")</f>
        <v/>
      </c>
      <c r="O103" s="3" t="n">
        <v>1</v>
      </c>
      <c r="P103">
        <f>IF(K103="",0,IF(K103&gt;=DATE(2021,1,1),1,0))</f>
        <v/>
      </c>
      <c r="Q103">
        <f>IF(L103="",0,IF(L103&lt;TIME(7,0,0),1,0))</f>
        <v/>
      </c>
      <c r="R103">
        <f>IF(M103="",0,IF(M103&gt;TIME(18,0,0),1,0))</f>
        <v/>
      </c>
      <c r="S103">
        <f>IF(AND(H103="Yes",O103=1,COUNTIFS($C$2:C103,C103,$N$2:N103,N103,$H$2:H103,"Yes",$O$2:O103,1)=1),1,0)</f>
        <v/>
      </c>
      <c r="T103">
        <f>SUMIFS($F$2:$F$294,$C$2:$C$294,C103,$N$2:$N$294,N103,$H$2:$H$294,"Yes",$O$2:$O$294,1)</f>
        <v/>
      </c>
    </row>
    <row r="104">
      <c r="A104" t="inlineStr">
        <is>
          <t>SE-00011466</t>
        </is>
      </c>
      <c r="B104" t="inlineStr">
        <is>
          <t>St Ives North OSHC</t>
        </is>
      </c>
      <c r="C104" t="inlineStr">
        <is>
          <t>PRIMARY OSHCARE PTY LTD</t>
        </is>
      </c>
      <c r="D104" t="inlineStr">
        <is>
          <t>ST IVES</t>
        </is>
      </c>
      <c r="E104" t="inlineStr">
        <is>
          <t>2075</t>
        </is>
      </c>
      <c r="F104" t="n">
        <v>289</v>
      </c>
      <c r="G104" t="inlineStr">
        <is>
          <t>Meeting NQS</t>
        </is>
      </c>
      <c r="H104" t="inlineStr">
        <is>
          <t>No</t>
        </is>
      </c>
      <c r="I104" t="inlineStr">
        <is>
          <t>No</t>
        </is>
      </c>
      <c r="J104" t="inlineStr">
        <is>
          <t>Yes</t>
        </is>
      </c>
      <c r="K104" s="9" t="n">
        <v>41116</v>
      </c>
      <c r="L104" s="10" t="n">
        <v>0.3125</v>
      </c>
      <c r="M104" s="10" t="n">
        <v>0.7291666666666666</v>
      </c>
      <c r="N104">
        <f>IFERROR(VLOOKUP(UPPER(D104),Suburb_LGA_Map!$A:$B,2,FALSE),"")</f>
        <v/>
      </c>
      <c r="O104" s="3" t="n">
        <v>1</v>
      </c>
      <c r="P104">
        <f>IF(K104="",0,IF(K104&gt;=DATE(2021,1,1),1,0))</f>
        <v/>
      </c>
      <c r="Q104">
        <f>IF(L104="",0,IF(L104&lt;TIME(7,0,0),1,0))</f>
        <v/>
      </c>
      <c r="R104">
        <f>IF(M104="",0,IF(M104&gt;TIME(18,0,0),1,0))</f>
        <v/>
      </c>
      <c r="S104">
        <f>IF(AND(H104="Yes",O104=1,COUNTIFS($C$2:C104,C104,$N$2:N104,N104,$H$2:H104,"Yes",$O$2:O104,1)=1),1,0)</f>
        <v/>
      </c>
      <c r="T104">
        <f>SUMIFS($F$2:$F$294,$C$2:$C$294,C104,$N$2:$N$294,N104,$H$2:$H$294,"Yes",$O$2:$O$294,1)</f>
        <v/>
      </c>
    </row>
    <row r="105">
      <c r="A105" t="inlineStr">
        <is>
          <t>SE-00011533</t>
        </is>
      </c>
      <c r="B105" t="inlineStr">
        <is>
          <t>Kuringgai Council Vacation Care Kids Getaway</t>
        </is>
      </c>
      <c r="C105" t="inlineStr">
        <is>
          <t>Ku-ring-gai Council</t>
        </is>
      </c>
      <c r="D105" t="inlineStr">
        <is>
          <t>ST IVES</t>
        </is>
      </c>
      <c r="E105" t="inlineStr">
        <is>
          <t>2075</t>
        </is>
      </c>
      <c r="F105" t="n">
        <v>80</v>
      </c>
      <c r="G105" t="inlineStr">
        <is>
          <t>Meeting NQS</t>
        </is>
      </c>
      <c r="H105" t="inlineStr">
        <is>
          <t>No</t>
        </is>
      </c>
      <c r="I105" t="inlineStr">
        <is>
          <t>No</t>
        </is>
      </c>
      <c r="J105" t="inlineStr">
        <is>
          <t>No</t>
        </is>
      </c>
      <c r="K105" s="9" t="n">
        <v>41115</v>
      </c>
      <c r="L105" s="10" t="n"/>
      <c r="M105" s="10" t="n"/>
      <c r="N105">
        <f>IFERROR(VLOOKUP(UPPER(D105),Suburb_LGA_Map!$A:$B,2,FALSE),"")</f>
        <v/>
      </c>
      <c r="O105" s="3" t="n">
        <v>1</v>
      </c>
      <c r="P105">
        <f>IF(K105="",0,IF(K105&gt;=DATE(2021,1,1),1,0))</f>
        <v/>
      </c>
      <c r="Q105">
        <f>IF(L105="",0,IF(L105&lt;TIME(7,0,0),1,0))</f>
        <v/>
      </c>
      <c r="R105">
        <f>IF(M105="",0,IF(M105&gt;TIME(18,0,0),1,0))</f>
        <v/>
      </c>
      <c r="S105">
        <f>IF(AND(H105="Yes",O105=1,COUNTIFS($C$2:C105,C105,$N$2:N105,N105,$H$2:H105,"Yes",$O$2:O105,1)=1),1,0)</f>
        <v/>
      </c>
      <c r="T105">
        <f>SUMIFS($F$2:$F$294,$C$2:$C$294,C105,$N$2:$N$294,N105,$H$2:$H$294,"Yes",$O$2:$O$294,1)</f>
        <v/>
      </c>
    </row>
    <row r="106">
      <c r="A106" t="inlineStr">
        <is>
          <t>SE-00011534</t>
        </is>
      </c>
      <c r="B106" t="inlineStr">
        <is>
          <t>Kuringgai Council Vacation Care West Pymble Kids Klub</t>
        </is>
      </c>
      <c r="C106" t="inlineStr">
        <is>
          <t>Ku-ring-gai Council</t>
        </is>
      </c>
      <c r="D106" t="inlineStr">
        <is>
          <t>WEST PYMBLE</t>
        </is>
      </c>
      <c r="E106" t="inlineStr">
        <is>
          <t>2073</t>
        </is>
      </c>
      <c r="F106" t="n">
        <v>55</v>
      </c>
      <c r="G106" t="inlineStr">
        <is>
          <t>Meeting NQS</t>
        </is>
      </c>
      <c r="H106" t="inlineStr">
        <is>
          <t>No</t>
        </is>
      </c>
      <c r="I106" t="inlineStr">
        <is>
          <t>No</t>
        </is>
      </c>
      <c r="J106" t="inlineStr">
        <is>
          <t>No</t>
        </is>
      </c>
      <c r="K106" s="9" t="n">
        <v>41115</v>
      </c>
      <c r="L106" s="10" t="n"/>
      <c r="M106" s="10" t="n"/>
      <c r="N106">
        <f>IFERROR(VLOOKUP(UPPER(D106),Suburb_LGA_Map!$A:$B,2,FALSE),"")</f>
        <v/>
      </c>
      <c r="O106" s="3" t="n">
        <v>1</v>
      </c>
      <c r="P106">
        <f>IF(K106="",0,IF(K106&gt;=DATE(2021,1,1),1,0))</f>
        <v/>
      </c>
      <c r="Q106">
        <f>IF(L106="",0,IF(L106&lt;TIME(7,0,0),1,0))</f>
        <v/>
      </c>
      <c r="R106">
        <f>IF(M106="",0,IF(M106&gt;TIME(18,0,0),1,0))</f>
        <v/>
      </c>
      <c r="S106">
        <f>IF(AND(H106="Yes",O106=1,COUNTIFS($C$2:C106,C106,$N$2:N106,N106,$H$2:H106,"Yes",$O$2:O106,1)=1),1,0)</f>
        <v/>
      </c>
      <c r="T106">
        <f>SUMIFS($F$2:$F$294,$C$2:$C$294,C106,$N$2:$N$294,N106,$H$2:$H$294,"Yes",$O$2:$O$294,1)</f>
        <v/>
      </c>
    </row>
    <row r="107">
      <c r="A107" t="inlineStr">
        <is>
          <t>SE-00011562</t>
        </is>
      </c>
      <c r="B107" t="inlineStr">
        <is>
          <t>TeamKids - Mascot Public School</t>
        </is>
      </c>
      <c r="C107" t="inlineStr">
        <is>
          <t>TEAM HOLIDAY PTY LTD</t>
        </is>
      </c>
      <c r="D107" t="inlineStr">
        <is>
          <t>MASCOT</t>
        </is>
      </c>
      <c r="E107" t="inlineStr">
        <is>
          <t>2020</t>
        </is>
      </c>
      <c r="F107" t="n">
        <v>66</v>
      </c>
      <c r="G107" t="inlineStr">
        <is>
          <t>Meeting NQS</t>
        </is>
      </c>
      <c r="H107" t="inlineStr">
        <is>
          <t>No</t>
        </is>
      </c>
      <c r="I107" t="inlineStr">
        <is>
          <t>No</t>
        </is>
      </c>
      <c r="J107" t="inlineStr">
        <is>
          <t>Yes</t>
        </is>
      </c>
      <c r="K107" s="9" t="n">
        <v>41522</v>
      </c>
      <c r="L107" s="10" t="n"/>
      <c r="M107" s="10" t="n"/>
      <c r="N107">
        <f>IFERROR(VLOOKUP(UPPER(D107),Suburb_LGA_Map!$A:$B,2,FALSE),"")</f>
        <v/>
      </c>
      <c r="O107" s="3" t="n">
        <v>1</v>
      </c>
      <c r="P107">
        <f>IF(K107="",0,IF(K107&gt;=DATE(2021,1,1),1,0))</f>
        <v/>
      </c>
      <c r="Q107">
        <f>IF(L107="",0,IF(L107&lt;TIME(7,0,0),1,0))</f>
        <v/>
      </c>
      <c r="R107">
        <f>IF(M107="",0,IF(M107&gt;TIME(18,0,0),1,0))</f>
        <v/>
      </c>
      <c r="S107">
        <f>IF(AND(H107="Yes",O107=1,COUNTIFS($C$2:C107,C107,$N$2:N107,N107,$H$2:H107,"Yes",$O$2:O107,1)=1),1,0)</f>
        <v/>
      </c>
      <c r="T107">
        <f>SUMIFS($F$2:$F$294,$C$2:$C$294,C107,$N$2:$N$294,N107,$H$2:$H$294,"Yes",$O$2:$O$294,1)</f>
        <v/>
      </c>
    </row>
    <row r="108">
      <c r="A108" t="inlineStr">
        <is>
          <t>SE-40005669</t>
        </is>
      </c>
      <c r="B108" t="inlineStr">
        <is>
          <t>FROEBEL St Leonards</t>
        </is>
      </c>
      <c r="C108" t="inlineStr">
        <is>
          <t>Froebel Australia Limited</t>
        </is>
      </c>
      <c r="D108" t="inlineStr">
        <is>
          <t>ST LEONARDS</t>
        </is>
      </c>
      <c r="E108" t="inlineStr">
        <is>
          <t>2065</t>
        </is>
      </c>
      <c r="F108" t="n">
        <v>99</v>
      </c>
      <c r="G108" t="inlineStr">
        <is>
          <t>Meeting NQS</t>
        </is>
      </c>
      <c r="H108" t="inlineStr">
        <is>
          <t>Yes</t>
        </is>
      </c>
      <c r="I108" t="inlineStr">
        <is>
          <t>No</t>
        </is>
      </c>
      <c r="J108" t="inlineStr">
        <is>
          <t>No</t>
        </is>
      </c>
      <c r="K108" s="9" t="n">
        <v>42353</v>
      </c>
      <c r="L108" s="10" t="n">
        <v>0.3125</v>
      </c>
      <c r="M108" s="10" t="n">
        <v>0.75</v>
      </c>
      <c r="N108">
        <f>IFERROR(VLOOKUP(UPPER(D108),Suburb_LGA_Map!$A:$B,2,FALSE),"")</f>
        <v/>
      </c>
      <c r="O108" s="3" t="n">
        <v>1</v>
      </c>
      <c r="P108">
        <f>IF(K108="",0,IF(K108&gt;=DATE(2021,1,1),1,0))</f>
        <v/>
      </c>
      <c r="Q108">
        <f>IF(L108="",0,IF(L108&lt;TIME(7,0,0),1,0))</f>
        <v/>
      </c>
      <c r="R108">
        <f>IF(M108="",0,IF(M108&gt;TIME(18,0,0),1,0))</f>
        <v/>
      </c>
      <c r="S108">
        <f>IF(AND(H108="Yes",O108=1,COUNTIFS($C$2:C108,C108,$N$2:N108,N108,$H$2:H108,"Yes",$O$2:O108,1)=1),1,0)</f>
        <v/>
      </c>
      <c r="T108">
        <f>SUMIFS($F$2:$F$294,$C$2:$C$294,C108,$N$2:$N$294,N108,$H$2:$H$294,"Yes",$O$2:$O$294,1)</f>
        <v/>
      </c>
    </row>
    <row r="109">
      <c r="A109" t="inlineStr">
        <is>
          <t>SE-40005691</t>
        </is>
      </c>
      <c r="B109" t="inlineStr">
        <is>
          <t>Inspire Roseville</t>
        </is>
      </c>
      <c r="C109" t="inlineStr">
        <is>
          <t>INSPIRE EDUCATION &amp; CARE PTY LIMITED</t>
        </is>
      </c>
      <c r="D109" t="inlineStr">
        <is>
          <t>ROSEVILLE</t>
        </is>
      </c>
      <c r="E109" t="inlineStr">
        <is>
          <t>2069</t>
        </is>
      </c>
      <c r="F109" t="n">
        <v>50</v>
      </c>
      <c r="G109" t="inlineStr">
        <is>
          <t>Meeting NQS</t>
        </is>
      </c>
      <c r="H109" t="inlineStr">
        <is>
          <t>No</t>
        </is>
      </c>
      <c r="I109" t="inlineStr">
        <is>
          <t>No</t>
        </is>
      </c>
      <c r="J109" t="inlineStr">
        <is>
          <t>Yes</t>
        </is>
      </c>
      <c r="K109" s="9" t="n">
        <v>42555</v>
      </c>
      <c r="L109" s="10" t="n"/>
      <c r="M109" s="10" t="n"/>
      <c r="N109">
        <f>IFERROR(VLOOKUP(UPPER(D109),Suburb_LGA_Map!$A:$B,2,FALSE),"")</f>
        <v/>
      </c>
      <c r="O109" s="3" t="n">
        <v>1</v>
      </c>
      <c r="P109">
        <f>IF(K109="",0,IF(K109&gt;=DATE(2021,1,1),1,0))</f>
        <v/>
      </c>
      <c r="Q109">
        <f>IF(L109="",0,IF(L109&lt;TIME(7,0,0),1,0))</f>
        <v/>
      </c>
      <c r="R109">
        <f>IF(M109="",0,IF(M109&gt;TIME(18,0,0),1,0))</f>
        <v/>
      </c>
      <c r="S109">
        <f>IF(AND(H109="Yes",O109=1,COUNTIFS($C$2:C109,C109,$N$2:N109,N109,$H$2:H109,"Yes",$O$2:O109,1)=1),1,0)</f>
        <v/>
      </c>
      <c r="T109">
        <f>SUMIFS($F$2:$F$294,$C$2:$C$294,C109,$N$2:$N$294,N109,$H$2:$H$294,"Yes",$O$2:$O$294,1)</f>
        <v/>
      </c>
    </row>
    <row r="110">
      <c r="A110" t="inlineStr">
        <is>
          <t>SE-00006928</t>
        </is>
      </c>
      <c r="B110" t="inlineStr">
        <is>
          <t>Cheeky Monkeys Day Care Centre</t>
        </is>
      </c>
      <c r="C110" t="inlineStr">
        <is>
          <t>J &amp; P Kambourakis Holdings Pty Limited</t>
        </is>
      </c>
      <c r="D110" t="inlineStr">
        <is>
          <t>KINGSGROVE</t>
        </is>
      </c>
      <c r="E110" t="inlineStr">
        <is>
          <t>2208</t>
        </is>
      </c>
      <c r="F110" t="n">
        <v>28</v>
      </c>
      <c r="G110" t="inlineStr">
        <is>
          <t>Meeting NQS</t>
        </is>
      </c>
      <c r="H110" t="inlineStr">
        <is>
          <t>Yes</t>
        </is>
      </c>
      <c r="I110" t="inlineStr">
        <is>
          <t>No</t>
        </is>
      </c>
      <c r="J110" t="inlineStr">
        <is>
          <t>No</t>
        </is>
      </c>
      <c r="K110" s="9" t="n">
        <v>39824</v>
      </c>
      <c r="L110" s="10" t="n">
        <v>0.3125</v>
      </c>
      <c r="M110" s="10" t="n">
        <v>0.7291666666666666</v>
      </c>
      <c r="N110">
        <f>IFERROR(VLOOKUP(UPPER(D110),Suburb_LGA_Map!$A:$B,2,FALSE),"")</f>
        <v/>
      </c>
      <c r="O110" s="3" t="n">
        <v>1</v>
      </c>
      <c r="P110">
        <f>IF(K110="",0,IF(K110&gt;=DATE(2021,1,1),1,0))</f>
        <v/>
      </c>
      <c r="Q110">
        <f>IF(L110="",0,IF(L110&lt;TIME(7,0,0),1,0))</f>
        <v/>
      </c>
      <c r="R110">
        <f>IF(M110="",0,IF(M110&gt;TIME(18,0,0),1,0))</f>
        <v/>
      </c>
      <c r="S110">
        <f>IF(AND(H110="Yes",O110=1,COUNTIFS($C$2:C110,C110,$N$2:N110,N110,$H$2:H110,"Yes",$O$2:O110,1)=1),1,0)</f>
        <v/>
      </c>
      <c r="T110">
        <f>SUMIFS($F$2:$F$294,$C$2:$C$294,C110,$N$2:$N$294,N110,$H$2:$H$294,"Yes",$O$2:$O$294,1)</f>
        <v/>
      </c>
    </row>
    <row r="111">
      <c r="A111" t="inlineStr">
        <is>
          <t>SE-00006949</t>
        </is>
      </c>
      <c r="B111" t="inlineStr">
        <is>
          <t>Integricare Preschool St Ives</t>
        </is>
      </c>
      <c r="C111" t="inlineStr">
        <is>
          <t>Integricare Limited</t>
        </is>
      </c>
      <c r="D111" t="inlineStr">
        <is>
          <t>ST IVES</t>
        </is>
      </c>
      <c r="E111" t="inlineStr">
        <is>
          <t>2075</t>
        </is>
      </c>
      <c r="F111" t="n">
        <v>40</v>
      </c>
      <c r="G111" t="inlineStr">
        <is>
          <t>Exceeding NQS</t>
        </is>
      </c>
      <c r="H111" t="inlineStr">
        <is>
          <t>No</t>
        </is>
      </c>
      <c r="I111" t="inlineStr">
        <is>
          <t>Yes</t>
        </is>
      </c>
      <c r="J111" t="inlineStr">
        <is>
          <t>No</t>
        </is>
      </c>
      <c r="K111" s="9" t="n">
        <v>39821</v>
      </c>
      <c r="L111" s="10" t="n">
        <v>0.3541666666666667</v>
      </c>
      <c r="M111" s="10" t="n">
        <v>0.6666666666666666</v>
      </c>
      <c r="N111">
        <f>IFERROR(VLOOKUP(UPPER(D111),Suburb_LGA_Map!$A:$B,2,FALSE),"")</f>
        <v/>
      </c>
      <c r="O111" s="3" t="n">
        <v>1</v>
      </c>
      <c r="P111">
        <f>IF(K111="",0,IF(K111&gt;=DATE(2021,1,1),1,0))</f>
        <v/>
      </c>
      <c r="Q111">
        <f>IF(L111="",0,IF(L111&lt;TIME(7,0,0),1,0))</f>
        <v/>
      </c>
      <c r="R111">
        <f>IF(M111="",0,IF(M111&gt;TIME(18,0,0),1,0))</f>
        <v/>
      </c>
      <c r="S111">
        <f>IF(AND(H111="Yes",O111=1,COUNTIFS($C$2:C111,C111,$N$2:N111,N111,$H$2:H111,"Yes",$O$2:O111,1)=1),1,0)</f>
        <v/>
      </c>
      <c r="T111">
        <f>SUMIFS($F$2:$F$294,$C$2:$C$294,C111,$N$2:$N$294,N111,$H$2:$H$294,"Yes",$O$2:$O$294,1)</f>
        <v/>
      </c>
    </row>
    <row r="112">
      <c r="A112" t="inlineStr">
        <is>
          <t>SE-00013906</t>
        </is>
      </c>
      <c r="B112" t="inlineStr">
        <is>
          <t>Integricare Early Learning Centre Rockdale Plaza</t>
        </is>
      </c>
      <c r="C112" t="inlineStr">
        <is>
          <t>Integricare Limited</t>
        </is>
      </c>
      <c r="D112" t="inlineStr">
        <is>
          <t>ROCKDALE</t>
        </is>
      </c>
      <c r="E112" t="inlineStr">
        <is>
          <t>2216</t>
        </is>
      </c>
      <c r="F112" t="n">
        <v>40</v>
      </c>
      <c r="G112" t="inlineStr">
        <is>
          <t>Meeting NQS</t>
        </is>
      </c>
      <c r="H112" t="inlineStr">
        <is>
          <t>Yes</t>
        </is>
      </c>
      <c r="I112" t="inlineStr">
        <is>
          <t>Yes</t>
        </is>
      </c>
      <c r="J112" t="inlineStr">
        <is>
          <t>No</t>
        </is>
      </c>
      <c r="K112" s="9" t="n">
        <v>39991</v>
      </c>
      <c r="L112" s="10" t="n">
        <v>0.3125</v>
      </c>
      <c r="M112" s="10" t="n">
        <v>0.75</v>
      </c>
      <c r="N112">
        <f>IFERROR(VLOOKUP(UPPER(D112),Suburb_LGA_Map!$A:$B,2,FALSE),"")</f>
        <v/>
      </c>
      <c r="O112" s="3" t="n">
        <v>1</v>
      </c>
      <c r="P112">
        <f>IF(K112="",0,IF(K112&gt;=DATE(2021,1,1),1,0))</f>
        <v/>
      </c>
      <c r="Q112">
        <f>IF(L112="",0,IF(L112&lt;TIME(7,0,0),1,0))</f>
        <v/>
      </c>
      <c r="R112">
        <f>IF(M112="",0,IF(M112&gt;TIME(18,0,0),1,0))</f>
        <v/>
      </c>
      <c r="S112">
        <f>IF(AND(H112="Yes",O112=1,COUNTIFS($C$2:C112,C112,$N$2:N112,N112,$H$2:H112,"Yes",$O$2:O112,1)=1),1,0)</f>
        <v/>
      </c>
      <c r="T112">
        <f>SUMIFS($F$2:$F$294,$C$2:$C$294,C112,$N$2:$N$294,N112,$H$2:$H$294,"Yes",$O$2:$O$294,1)</f>
        <v/>
      </c>
    </row>
    <row r="113">
      <c r="A113" t="inlineStr">
        <is>
          <t>SE-00017550</t>
        </is>
      </c>
      <c r="B113" t="inlineStr">
        <is>
          <t>Play to Learn Early Learning Centre</t>
        </is>
      </c>
      <c r="C113" t="inlineStr">
        <is>
          <t>Learn To Play Play To Learn Pty Ltd</t>
        </is>
      </c>
      <c r="D113" t="inlineStr">
        <is>
          <t>TURRAMURRA</t>
        </is>
      </c>
      <c r="E113" t="inlineStr">
        <is>
          <t>2074</t>
        </is>
      </c>
      <c r="F113" t="n">
        <v>80</v>
      </c>
      <c r="G113" t="inlineStr">
        <is>
          <t>Exceeding NQS</t>
        </is>
      </c>
      <c r="H113" t="inlineStr">
        <is>
          <t>Yes</t>
        </is>
      </c>
      <c r="I113" t="inlineStr">
        <is>
          <t>No</t>
        </is>
      </c>
      <c r="J113" t="inlineStr">
        <is>
          <t>No</t>
        </is>
      </c>
      <c r="K113" s="9" t="n">
        <v>45777</v>
      </c>
      <c r="L113" s="10" t="n">
        <v>0.2916666666666667</v>
      </c>
      <c r="M113" s="10" t="n">
        <v>0.75</v>
      </c>
      <c r="N113">
        <f>IFERROR(VLOOKUP(UPPER(D113),Suburb_LGA_Map!$A:$B,2,FALSE),"")</f>
        <v/>
      </c>
      <c r="O113" s="3" t="n">
        <v>1</v>
      </c>
      <c r="P113">
        <f>IF(K113="",0,IF(K113&gt;=DATE(2021,1,1),1,0))</f>
        <v/>
      </c>
      <c r="Q113">
        <f>IF(L113="",0,IF(L113&lt;TIME(7,0,0),1,0))</f>
        <v/>
      </c>
      <c r="R113">
        <f>IF(M113="",0,IF(M113&gt;TIME(18,0,0),1,0))</f>
        <v/>
      </c>
      <c r="S113">
        <f>IF(AND(H113="Yes",O113=1,COUNTIFS($C$2:C113,C113,$N$2:N113,N113,$H$2:H113,"Yes",$O$2:O113,1)=1),1,0)</f>
        <v/>
      </c>
      <c r="T113">
        <f>SUMIFS($F$2:$F$294,$C$2:$C$294,C113,$N$2:$N$294,N113,$H$2:$H$294,"Yes",$O$2:$O$294,1)</f>
        <v/>
      </c>
    </row>
    <row r="114">
      <c r="A114" t="inlineStr">
        <is>
          <t>SE-00017575</t>
        </is>
      </c>
      <c r="B114" t="inlineStr">
        <is>
          <t>My Reggio Kindy Garden</t>
        </is>
      </c>
      <c r="C114" t="inlineStr">
        <is>
          <t>DUNNING ROSEBERY CHILDCARE PTY LTD</t>
        </is>
      </c>
      <c r="D114" t="inlineStr">
        <is>
          <t>ROSEBERY</t>
        </is>
      </c>
      <c r="E114" t="inlineStr">
        <is>
          <t>2018</t>
        </is>
      </c>
      <c r="F114" t="n">
        <v>28</v>
      </c>
      <c r="G114" t="inlineStr"/>
      <c r="H114" t="inlineStr">
        <is>
          <t>Yes</t>
        </is>
      </c>
      <c r="I114" t="inlineStr">
        <is>
          <t>No</t>
        </is>
      </c>
      <c r="J114" t="inlineStr">
        <is>
          <t>No</t>
        </is>
      </c>
      <c r="K114" s="9" t="n">
        <v>45923</v>
      </c>
      <c r="L114" s="10" t="n">
        <v>0.3125</v>
      </c>
      <c r="M114" s="10" t="n">
        <v>0.75</v>
      </c>
      <c r="N114">
        <f>IFERROR(VLOOKUP(UPPER(D114),Suburb_LGA_Map!$A:$B,2,FALSE),"")</f>
        <v/>
      </c>
      <c r="O114" s="3" t="n">
        <v>1</v>
      </c>
      <c r="P114">
        <f>IF(K114="",0,IF(K114&gt;=DATE(2021,1,1),1,0))</f>
        <v/>
      </c>
      <c r="Q114">
        <f>IF(L114="",0,IF(L114&lt;TIME(7,0,0),1,0))</f>
        <v/>
      </c>
      <c r="R114">
        <f>IF(M114="",0,IF(M114&gt;TIME(18,0,0),1,0))</f>
        <v/>
      </c>
      <c r="S114">
        <f>IF(AND(H114="Yes",O114=1,COUNTIFS($C$2:C114,C114,$N$2:N114,N114,$H$2:H114,"Yes",$O$2:O114,1)=1),1,0)</f>
        <v/>
      </c>
      <c r="T114">
        <f>SUMIFS($F$2:$F$294,$C$2:$C$294,C114,$N$2:$N$294,N114,$H$2:$H$294,"Yes",$O$2:$O$294,1)</f>
        <v/>
      </c>
    </row>
    <row r="115">
      <c r="A115" t="inlineStr">
        <is>
          <t>SE-00017579</t>
        </is>
      </c>
      <c r="B115" t="inlineStr">
        <is>
          <t>Montessori By The Bay</t>
        </is>
      </c>
      <c r="C115" t="inlineStr">
        <is>
          <t>Anba Wanis Pty Ltd</t>
        </is>
      </c>
      <c r="D115" t="inlineStr">
        <is>
          <t>MONTEREY</t>
        </is>
      </c>
      <c r="E115" t="inlineStr">
        <is>
          <t>2217</t>
        </is>
      </c>
      <c r="F115" t="n">
        <v>20</v>
      </c>
      <c r="G115" t="inlineStr">
        <is>
          <t>Meeting NQS</t>
        </is>
      </c>
      <c r="H115" t="inlineStr">
        <is>
          <t>Yes</t>
        </is>
      </c>
      <c r="I115" t="inlineStr">
        <is>
          <t>No</t>
        </is>
      </c>
      <c r="J115" t="inlineStr">
        <is>
          <t>No</t>
        </is>
      </c>
      <c r="K115" s="9" t="n">
        <v>45826</v>
      </c>
      <c r="L115" s="10" t="n">
        <v>0.3125</v>
      </c>
      <c r="M115" s="10" t="n">
        <v>0.75</v>
      </c>
      <c r="N115">
        <f>IFERROR(VLOOKUP(UPPER(D115),Suburb_LGA_Map!$A:$B,2,FALSE),"")</f>
        <v/>
      </c>
      <c r="O115" s="3" t="n">
        <v>1</v>
      </c>
      <c r="P115">
        <f>IF(K115="",0,IF(K115&gt;=DATE(2021,1,1),1,0))</f>
        <v/>
      </c>
      <c r="Q115">
        <f>IF(L115="",0,IF(L115&lt;TIME(7,0,0),1,0))</f>
        <v/>
      </c>
      <c r="R115">
        <f>IF(M115="",0,IF(M115&gt;TIME(18,0,0),1,0))</f>
        <v/>
      </c>
      <c r="S115">
        <f>IF(AND(H115="Yes",O115=1,COUNTIFS($C$2:C115,C115,$N$2:N115,N115,$H$2:H115,"Yes",$O$2:O115,1)=1),1,0)</f>
        <v/>
      </c>
      <c r="T115">
        <f>SUMIFS($F$2:$F$294,$C$2:$C$294,C115,$N$2:$N$294,N115,$H$2:$H$294,"Yes",$O$2:$O$294,1)</f>
        <v/>
      </c>
    </row>
    <row r="116">
      <c r="A116" t="inlineStr">
        <is>
          <t>SE-00006435</t>
        </is>
      </c>
      <c r="B116" t="inlineStr">
        <is>
          <t>Angels of the Bay-Children's Long Day Care Centre</t>
        </is>
      </c>
      <c r="C116" t="inlineStr">
        <is>
          <t>Natsikas Pty Ltd</t>
        </is>
      </c>
      <c r="D116" t="inlineStr">
        <is>
          <t>SANS SOUCI</t>
        </is>
      </c>
      <c r="E116" t="inlineStr">
        <is>
          <t>2219</t>
        </is>
      </c>
      <c r="F116" t="n">
        <v>39</v>
      </c>
      <c r="G116" t="inlineStr">
        <is>
          <t>Meeting NQS</t>
        </is>
      </c>
      <c r="H116" t="inlineStr">
        <is>
          <t>Yes</t>
        </is>
      </c>
      <c r="I116" t="inlineStr">
        <is>
          <t>No</t>
        </is>
      </c>
      <c r="J116" t="inlineStr">
        <is>
          <t>No</t>
        </is>
      </c>
      <c r="K116" s="9" t="n">
        <v>39202</v>
      </c>
      <c r="L116" s="10" t="n">
        <v>0.3125</v>
      </c>
      <c r="M116" s="10" t="n">
        <v>0.75</v>
      </c>
      <c r="N116">
        <f>IFERROR(VLOOKUP(UPPER(D116),Suburb_LGA_Map!$A:$B,2,FALSE),"")</f>
        <v/>
      </c>
      <c r="O116" s="3" t="n">
        <v>1</v>
      </c>
      <c r="P116">
        <f>IF(K116="",0,IF(K116&gt;=DATE(2021,1,1),1,0))</f>
        <v/>
      </c>
      <c r="Q116">
        <f>IF(L116="",0,IF(L116&lt;TIME(7,0,0),1,0))</f>
        <v/>
      </c>
      <c r="R116">
        <f>IF(M116="",0,IF(M116&gt;TIME(18,0,0),1,0))</f>
        <v/>
      </c>
      <c r="S116">
        <f>IF(AND(H116="Yes",O116=1,COUNTIFS($C$2:C116,C116,$N$2:N116,N116,$H$2:H116,"Yes",$O$2:O116,1)=1),1,0)</f>
        <v/>
      </c>
      <c r="T116">
        <f>SUMIFS($F$2:$F$294,$C$2:$C$294,C116,$N$2:$N$294,N116,$H$2:$H$294,"Yes",$O$2:$O$294,1)</f>
        <v/>
      </c>
    </row>
    <row r="117">
      <c r="A117" t="inlineStr">
        <is>
          <t>SE-00006460</t>
        </is>
      </c>
      <c r="B117" t="inlineStr">
        <is>
          <t>Arncliffe Pre-School</t>
        </is>
      </c>
      <c r="C117" t="inlineStr">
        <is>
          <t>Arncliffe Pre School Inc</t>
        </is>
      </c>
      <c r="D117" t="inlineStr">
        <is>
          <t>ARNCLIFFE</t>
        </is>
      </c>
      <c r="E117" t="inlineStr">
        <is>
          <t>2205</t>
        </is>
      </c>
      <c r="F117" t="n">
        <v>38</v>
      </c>
      <c r="G117" t="inlineStr">
        <is>
          <t>Exceeding NQS</t>
        </is>
      </c>
      <c r="H117" t="inlineStr">
        <is>
          <t>No</t>
        </is>
      </c>
      <c r="I117" t="inlineStr">
        <is>
          <t>Yes</t>
        </is>
      </c>
      <c r="J117" t="inlineStr">
        <is>
          <t>No</t>
        </is>
      </c>
      <c r="K117" s="9" t="n">
        <v>39956</v>
      </c>
      <c r="L117" s="10" t="n"/>
      <c r="M117" s="10" t="n"/>
      <c r="N117">
        <f>IFERROR(VLOOKUP(UPPER(D117),Suburb_LGA_Map!$A:$B,2,FALSE),"")</f>
        <v/>
      </c>
      <c r="O117" s="3" t="n">
        <v>1</v>
      </c>
      <c r="P117">
        <f>IF(K117="",0,IF(K117&gt;=DATE(2021,1,1),1,0))</f>
        <v/>
      </c>
      <c r="Q117">
        <f>IF(L117="",0,IF(L117&lt;TIME(7,0,0),1,0))</f>
        <v/>
      </c>
      <c r="R117">
        <f>IF(M117="",0,IF(M117&gt;TIME(18,0,0),1,0))</f>
        <v/>
      </c>
      <c r="S117">
        <f>IF(AND(H117="Yes",O117=1,COUNTIFS($C$2:C117,C117,$N$2:N117,N117,$H$2:H117,"Yes",$O$2:O117,1)=1),1,0)</f>
        <v/>
      </c>
      <c r="T117">
        <f>SUMIFS($F$2:$F$294,$C$2:$C$294,C117,$N$2:$N$294,N117,$H$2:$H$294,"Yes",$O$2:$O$294,1)</f>
        <v/>
      </c>
    </row>
    <row r="118">
      <c r="A118" t="inlineStr">
        <is>
          <t>SE-00006461</t>
        </is>
      </c>
      <c r="B118" t="inlineStr">
        <is>
          <t>Arncliffe West Infants Preschool</t>
        </is>
      </c>
      <c r="C118" t="inlineStr">
        <is>
          <t>Department of Education</t>
        </is>
      </c>
      <c r="D118" t="inlineStr">
        <is>
          <t>TURRELLA</t>
        </is>
      </c>
      <c r="E118" t="inlineStr">
        <is>
          <t>2205</t>
        </is>
      </c>
      <c r="F118" t="n">
        <v>20</v>
      </c>
      <c r="G118" t="inlineStr">
        <is>
          <t>Meeting NQS</t>
        </is>
      </c>
      <c r="H118" t="inlineStr">
        <is>
          <t>No</t>
        </is>
      </c>
      <c r="I118" t="inlineStr">
        <is>
          <t>No</t>
        </is>
      </c>
      <c r="J118" t="inlineStr">
        <is>
          <t>No</t>
        </is>
      </c>
      <c r="K118" s="9" t="n">
        <v>40437</v>
      </c>
      <c r="L118" s="10" t="n">
        <v>0.3958333333333333</v>
      </c>
      <c r="M118" s="10" t="n">
        <v>0.6458333333333334</v>
      </c>
      <c r="N118">
        <f>IFERROR(VLOOKUP(UPPER(D118),Suburb_LGA_Map!$A:$B,2,FALSE),"")</f>
        <v/>
      </c>
      <c r="O118" s="3" t="n">
        <v>1</v>
      </c>
      <c r="P118">
        <f>IF(K118="",0,IF(K118&gt;=DATE(2021,1,1),1,0))</f>
        <v/>
      </c>
      <c r="Q118">
        <f>IF(L118="",0,IF(L118&lt;TIME(7,0,0),1,0))</f>
        <v/>
      </c>
      <c r="R118">
        <f>IF(M118="",0,IF(M118&gt;TIME(18,0,0),1,0))</f>
        <v/>
      </c>
      <c r="S118">
        <f>IF(AND(H118="Yes",O118=1,COUNTIFS($C$2:C118,C118,$N$2:N118,N118,$H$2:H118,"Yes",$O$2:O118,1)=1),1,0)</f>
        <v/>
      </c>
      <c r="T118">
        <f>SUMIFS($F$2:$F$294,$C$2:$C$294,C118,$N$2:$N$294,N118,$H$2:$H$294,"Yes",$O$2:$O$294,1)</f>
        <v/>
      </c>
    </row>
    <row r="119">
      <c r="A119" t="inlineStr">
        <is>
          <t>SE-00006475</t>
        </is>
      </c>
      <c r="B119" t="inlineStr">
        <is>
          <t>Atchison Cottage</t>
        </is>
      </c>
      <c r="C119" t="inlineStr">
        <is>
          <t>Sheahan Pty Ltd</t>
        </is>
      </c>
      <c r="D119" t="inlineStr">
        <is>
          <t>CROWS NEST</t>
        </is>
      </c>
      <c r="E119" t="inlineStr">
        <is>
          <t>2065</t>
        </is>
      </c>
      <c r="F119" t="n">
        <v>65</v>
      </c>
      <c r="G119" t="inlineStr">
        <is>
          <t>Exceeding NQS</t>
        </is>
      </c>
      <c r="H119" t="inlineStr">
        <is>
          <t>Yes</t>
        </is>
      </c>
      <c r="I119" t="inlineStr">
        <is>
          <t>No</t>
        </is>
      </c>
      <c r="J119" t="inlineStr">
        <is>
          <t>No</t>
        </is>
      </c>
      <c r="K119" s="9" t="n">
        <v>39776</v>
      </c>
      <c r="L119" s="10" t="n">
        <v>0.3333333333333333</v>
      </c>
      <c r="M119" s="10" t="n">
        <v>0.75</v>
      </c>
      <c r="N119">
        <f>IFERROR(VLOOKUP(UPPER(D119),Suburb_LGA_Map!$A:$B,2,FALSE),"")</f>
        <v/>
      </c>
      <c r="O119" s="3" t="n">
        <v>1</v>
      </c>
      <c r="P119">
        <f>IF(K119="",0,IF(K119&gt;=DATE(2021,1,1),1,0))</f>
        <v/>
      </c>
      <c r="Q119">
        <f>IF(L119="",0,IF(L119&lt;TIME(7,0,0),1,0))</f>
        <v/>
      </c>
      <c r="R119">
        <f>IF(M119="",0,IF(M119&gt;TIME(18,0,0),1,0))</f>
        <v/>
      </c>
      <c r="S119">
        <f>IF(AND(H119="Yes",O119=1,COUNTIFS($C$2:C119,C119,$N$2:N119,N119,$H$2:H119,"Yes",$O$2:O119,1)=1),1,0)</f>
        <v/>
      </c>
      <c r="T119">
        <f>SUMIFS($F$2:$F$294,$C$2:$C$294,C119,$N$2:$N$294,N119,$H$2:$H$294,"Yes",$O$2:$O$294,1)</f>
        <v/>
      </c>
    </row>
    <row r="120">
      <c r="A120" t="inlineStr">
        <is>
          <t>SE-00006476</t>
        </is>
      </c>
      <c r="B120" t="inlineStr">
        <is>
          <t>Atchison Preschool</t>
        </is>
      </c>
      <c r="C120" t="inlineStr">
        <is>
          <t>Sheahan Pty Ltd</t>
        </is>
      </c>
      <c r="D120" t="inlineStr">
        <is>
          <t>CROWS NEST</t>
        </is>
      </c>
      <c r="E120" t="inlineStr">
        <is>
          <t>2065</t>
        </is>
      </c>
      <c r="F120" t="n">
        <v>29</v>
      </c>
      <c r="G120" t="inlineStr">
        <is>
          <t>Meeting NQS</t>
        </is>
      </c>
      <c r="H120" t="inlineStr">
        <is>
          <t>Yes</t>
        </is>
      </c>
      <c r="I120" t="inlineStr">
        <is>
          <t>No</t>
        </is>
      </c>
      <c r="J120" t="inlineStr">
        <is>
          <t>No</t>
        </is>
      </c>
      <c r="K120" s="9" t="n">
        <v>38986</v>
      </c>
      <c r="L120" s="10" t="n">
        <v>0.3333333333333333</v>
      </c>
      <c r="M120" s="10" t="n">
        <v>0.75</v>
      </c>
      <c r="N120">
        <f>IFERROR(VLOOKUP(UPPER(D120),Suburb_LGA_Map!$A:$B,2,FALSE),"")</f>
        <v/>
      </c>
      <c r="O120" s="3" t="n">
        <v>1</v>
      </c>
      <c r="P120">
        <f>IF(K120="",0,IF(K120&gt;=DATE(2021,1,1),1,0))</f>
        <v/>
      </c>
      <c r="Q120">
        <f>IF(L120="",0,IF(L120&lt;TIME(7,0,0),1,0))</f>
        <v/>
      </c>
      <c r="R120">
        <f>IF(M120="",0,IF(M120&gt;TIME(18,0,0),1,0))</f>
        <v/>
      </c>
      <c r="S120">
        <f>IF(AND(H120="Yes",O120=1,COUNTIFS($C$2:C120,C120,$N$2:N120,N120,$H$2:H120,"Yes",$O$2:O120,1)=1),1,0)</f>
        <v/>
      </c>
      <c r="T120">
        <f>SUMIFS($F$2:$F$294,$C$2:$C$294,C120,$N$2:$N$294,N120,$H$2:$H$294,"Yes",$O$2:$O$294,1)</f>
        <v/>
      </c>
    </row>
    <row r="121">
      <c r="A121" t="inlineStr">
        <is>
          <t>SE-00006495</t>
        </is>
      </c>
      <c r="B121" t="inlineStr">
        <is>
          <t>St George Montessori Kingsgrove Early Learning Centre</t>
        </is>
      </c>
      <c r="C121" t="inlineStr">
        <is>
          <t>St George Long Day Care Pty Ltd</t>
        </is>
      </c>
      <c r="D121" t="inlineStr">
        <is>
          <t>KINGSGROVE</t>
        </is>
      </c>
      <c r="E121" t="inlineStr">
        <is>
          <t>2208</t>
        </is>
      </c>
      <c r="F121" t="n">
        <v>46</v>
      </c>
      <c r="G121" t="inlineStr">
        <is>
          <t>Meeting NQS</t>
        </is>
      </c>
      <c r="H121" t="inlineStr">
        <is>
          <t>Yes</t>
        </is>
      </c>
      <c r="I121" t="inlineStr">
        <is>
          <t>No</t>
        </is>
      </c>
      <c r="J121" t="inlineStr">
        <is>
          <t>No</t>
        </is>
      </c>
      <c r="K121" s="9" t="n">
        <v>40249</v>
      </c>
      <c r="L121" s="10" t="n">
        <v>0.2916666666666667</v>
      </c>
      <c r="M121" s="10" t="n">
        <v>0.75</v>
      </c>
      <c r="N121">
        <f>IFERROR(VLOOKUP(UPPER(D121),Suburb_LGA_Map!$A:$B,2,FALSE),"")</f>
        <v/>
      </c>
      <c r="O121" s="3" t="n">
        <v>1</v>
      </c>
      <c r="P121">
        <f>IF(K121="",0,IF(K121&gt;=DATE(2021,1,1),1,0))</f>
        <v/>
      </c>
      <c r="Q121">
        <f>IF(L121="",0,IF(L121&lt;TIME(7,0,0),1,0))</f>
        <v/>
      </c>
      <c r="R121">
        <f>IF(M121="",0,IF(M121&gt;TIME(18,0,0),1,0))</f>
        <v/>
      </c>
      <c r="S121">
        <f>IF(AND(H121="Yes",O121=1,COUNTIFS($C$2:C121,C121,$N$2:N121,N121,$H$2:H121,"Yes",$O$2:O121,1)=1),1,0)</f>
        <v/>
      </c>
      <c r="T121">
        <f>SUMIFS($F$2:$F$294,$C$2:$C$294,C121,$N$2:$N$294,N121,$H$2:$H$294,"Yes",$O$2:$O$294,1)</f>
        <v/>
      </c>
    </row>
    <row r="122">
      <c r="A122" t="inlineStr">
        <is>
          <t>SE-00006496</t>
        </is>
      </c>
      <c r="B122" t="inlineStr">
        <is>
          <t>Babyccino</t>
        </is>
      </c>
      <c r="C122" t="inlineStr">
        <is>
          <t>DM CHRIST CENTERED CO. PTY LTD</t>
        </is>
      </c>
      <c r="D122" t="inlineStr">
        <is>
          <t>BRIGHTON-LE-SANDS</t>
        </is>
      </c>
      <c r="E122" t="inlineStr">
        <is>
          <t>2216</t>
        </is>
      </c>
      <c r="F122" t="n">
        <v>36</v>
      </c>
      <c r="G122" t="inlineStr">
        <is>
          <t>Working Towards NQS</t>
        </is>
      </c>
      <c r="H122" t="inlineStr">
        <is>
          <t>Yes</t>
        </is>
      </c>
      <c r="I122" t="inlineStr">
        <is>
          <t>No</t>
        </is>
      </c>
      <c r="J122" t="inlineStr">
        <is>
          <t>No</t>
        </is>
      </c>
      <c r="K122" s="9" t="n">
        <v>39251</v>
      </c>
      <c r="L122" s="10" t="n">
        <v>0.3125</v>
      </c>
      <c r="M122" s="10" t="n">
        <v>0.75</v>
      </c>
      <c r="N122">
        <f>IFERROR(VLOOKUP(UPPER(D122),Suburb_LGA_Map!$A:$B,2,FALSE),"")</f>
        <v/>
      </c>
      <c r="O122" s="3" t="n">
        <v>1</v>
      </c>
      <c r="P122">
        <f>IF(K122="",0,IF(K122&gt;=DATE(2021,1,1),1,0))</f>
        <v/>
      </c>
      <c r="Q122">
        <f>IF(L122="",0,IF(L122&lt;TIME(7,0,0),1,0))</f>
        <v/>
      </c>
      <c r="R122">
        <f>IF(M122="",0,IF(M122&gt;TIME(18,0,0),1,0))</f>
        <v/>
      </c>
      <c r="S122">
        <f>IF(AND(H122="Yes",O122=1,COUNTIFS($C$2:C122,C122,$N$2:N122,N122,$H$2:H122,"Yes",$O$2:O122,1)=1),1,0)</f>
        <v/>
      </c>
      <c r="T122">
        <f>SUMIFS($F$2:$F$294,$C$2:$C$294,C122,$N$2:$N$294,N122,$H$2:$H$294,"Yes",$O$2:$O$294,1)</f>
        <v/>
      </c>
    </row>
    <row r="123">
      <c r="A123" t="inlineStr">
        <is>
          <t>SE-00006531</t>
        </is>
      </c>
      <c r="B123" t="inlineStr">
        <is>
          <t>My Best Me Early Learning Academy</t>
        </is>
      </c>
      <c r="C123" t="inlineStr">
        <is>
          <t>Third Day Enterprises Pty Ltd ATF Third Day Business Unit Trust</t>
        </is>
      </c>
      <c r="D123" t="inlineStr">
        <is>
          <t>ROCKDALE</t>
        </is>
      </c>
      <c r="E123" t="inlineStr">
        <is>
          <t>2216</t>
        </is>
      </c>
      <c r="F123" t="n">
        <v>58</v>
      </c>
      <c r="G123" t="inlineStr">
        <is>
          <t>Meeting NQS</t>
        </is>
      </c>
      <c r="H123" t="inlineStr">
        <is>
          <t>Yes</t>
        </is>
      </c>
      <c r="I123" t="inlineStr">
        <is>
          <t>No</t>
        </is>
      </c>
      <c r="J123" t="inlineStr">
        <is>
          <t>No</t>
        </is>
      </c>
      <c r="K123" s="9" t="n">
        <v>39918</v>
      </c>
      <c r="L123" s="10" t="n">
        <v>0.2916666666666667</v>
      </c>
      <c r="M123" s="10" t="n">
        <v>0.75</v>
      </c>
      <c r="N123">
        <f>IFERROR(VLOOKUP(UPPER(D123),Suburb_LGA_Map!$A:$B,2,FALSE),"")</f>
        <v/>
      </c>
      <c r="O123" s="3" t="n">
        <v>1</v>
      </c>
      <c r="P123">
        <f>IF(K123="",0,IF(K123&gt;=DATE(2021,1,1),1,0))</f>
        <v/>
      </c>
      <c r="Q123">
        <f>IF(L123="",0,IF(L123&lt;TIME(7,0,0),1,0))</f>
        <v/>
      </c>
      <c r="R123">
        <f>IF(M123="",0,IF(M123&gt;TIME(18,0,0),1,0))</f>
        <v/>
      </c>
      <c r="S123">
        <f>IF(AND(H123="Yes",O123=1,COUNTIFS($C$2:C123,C123,$N$2:N123,N123,$H$2:H123,"Yes",$O$2:O123,1)=1),1,0)</f>
        <v/>
      </c>
      <c r="T123">
        <f>SUMIFS($F$2:$F$294,$C$2:$C$294,C123,$N$2:$N$294,N123,$H$2:$H$294,"Yes",$O$2:$O$294,1)</f>
        <v/>
      </c>
    </row>
    <row r="124">
      <c r="A124" t="inlineStr">
        <is>
          <t>SE-00006541</t>
        </is>
      </c>
      <c r="B124" t="inlineStr">
        <is>
          <t>Banksmeadow Public School Preschool</t>
        </is>
      </c>
      <c r="C124" t="inlineStr">
        <is>
          <t>Department of Education</t>
        </is>
      </c>
      <c r="D124" t="inlineStr">
        <is>
          <t>BOTANY</t>
        </is>
      </c>
      <c r="E124" t="inlineStr">
        <is>
          <t>2019</t>
        </is>
      </c>
      <c r="F124" t="n">
        <v>40</v>
      </c>
      <c r="G124" t="inlineStr">
        <is>
          <t>Exceeding NQS</t>
        </is>
      </c>
      <c r="H124" t="inlineStr">
        <is>
          <t>No</t>
        </is>
      </c>
      <c r="I124" t="inlineStr">
        <is>
          <t>No</t>
        </is>
      </c>
      <c r="J124" t="inlineStr">
        <is>
          <t>No</t>
        </is>
      </c>
      <c r="K124" s="9" t="n">
        <v>40437</v>
      </c>
      <c r="L124" s="10" t="n">
        <v>0.375</v>
      </c>
      <c r="M124" s="10" t="n">
        <v>0.625</v>
      </c>
      <c r="N124">
        <f>IFERROR(VLOOKUP(UPPER(D124),Suburb_LGA_Map!$A:$B,2,FALSE),"")</f>
        <v/>
      </c>
      <c r="O124" s="3" t="n">
        <v>1</v>
      </c>
      <c r="P124">
        <f>IF(K124="",0,IF(K124&gt;=DATE(2021,1,1),1,0))</f>
        <v/>
      </c>
      <c r="Q124">
        <f>IF(L124="",0,IF(L124&lt;TIME(7,0,0),1,0))</f>
        <v/>
      </c>
      <c r="R124">
        <f>IF(M124="",0,IF(M124&gt;TIME(18,0,0),1,0))</f>
        <v/>
      </c>
      <c r="S124">
        <f>IF(AND(H124="Yes",O124=1,COUNTIFS($C$2:C124,C124,$N$2:N124,N124,$H$2:H124,"Yes",$O$2:O124,1)=1),1,0)</f>
        <v/>
      </c>
      <c r="T124">
        <f>SUMIFS($F$2:$F$294,$C$2:$C$294,C124,$N$2:$N$294,N124,$H$2:$H$294,"Yes",$O$2:$O$294,1)</f>
        <v/>
      </c>
    </row>
    <row r="125">
      <c r="A125" t="inlineStr">
        <is>
          <t>SE-40003082</t>
        </is>
      </c>
      <c r="B125" t="inlineStr">
        <is>
          <t>Jane's Place Early Learning Centre Turramurra Pty Ltd</t>
        </is>
      </c>
      <c r="C125" t="inlineStr">
        <is>
          <t>Anibal 21 Pty Limited</t>
        </is>
      </c>
      <c r="D125" t="inlineStr">
        <is>
          <t>NORTH TURRAMURRA</t>
        </is>
      </c>
      <c r="E125" t="inlineStr">
        <is>
          <t>2074</t>
        </is>
      </c>
      <c r="F125" t="n">
        <v>49</v>
      </c>
      <c r="G125" t="inlineStr">
        <is>
          <t>Meeting NQS</t>
        </is>
      </c>
      <c r="H125" t="inlineStr">
        <is>
          <t>Yes</t>
        </is>
      </c>
      <c r="I125" t="inlineStr">
        <is>
          <t>No</t>
        </is>
      </c>
      <c r="J125" t="inlineStr">
        <is>
          <t>No</t>
        </is>
      </c>
      <c r="K125" s="9" t="n">
        <v>42004</v>
      </c>
      <c r="L125" s="10" t="n">
        <v>0.3125</v>
      </c>
      <c r="M125" s="10" t="n">
        <v>0.7291666666666666</v>
      </c>
      <c r="N125">
        <f>IFERROR(VLOOKUP(UPPER(D125),Suburb_LGA_Map!$A:$B,2,FALSE),"")</f>
        <v/>
      </c>
      <c r="O125" s="3" t="n">
        <v>1</v>
      </c>
      <c r="P125">
        <f>IF(K125="",0,IF(K125&gt;=DATE(2021,1,1),1,0))</f>
        <v/>
      </c>
      <c r="Q125">
        <f>IF(L125="",0,IF(L125&lt;TIME(7,0,0),1,0))</f>
        <v/>
      </c>
      <c r="R125">
        <f>IF(M125="",0,IF(M125&gt;TIME(18,0,0),1,0))</f>
        <v/>
      </c>
      <c r="S125">
        <f>IF(AND(H125="Yes",O125=1,COUNTIFS($C$2:C125,C125,$N$2:N125,N125,$H$2:H125,"Yes",$O$2:O125,1)=1),1,0)</f>
        <v/>
      </c>
      <c r="T125">
        <f>SUMIFS($F$2:$F$294,$C$2:$C$294,C125,$N$2:$N$294,N125,$H$2:$H$294,"Yes",$O$2:$O$294,1)</f>
        <v/>
      </c>
    </row>
    <row r="126">
      <c r="A126" t="inlineStr">
        <is>
          <t>SE-40012985</t>
        </is>
      </c>
      <c r="B126" t="inlineStr">
        <is>
          <t>Reggio Emilia Early Learning Centre Pagewood</t>
        </is>
      </c>
      <c r="C126" t="inlineStr">
        <is>
          <t>ELC CONCEPT PTY LTD</t>
        </is>
      </c>
      <c r="D126" t="inlineStr">
        <is>
          <t>PAGEWOOD</t>
        </is>
      </c>
      <c r="E126" t="inlineStr">
        <is>
          <t>2035</t>
        </is>
      </c>
      <c r="F126" t="n">
        <v>87</v>
      </c>
      <c r="G126" t="inlineStr">
        <is>
          <t>Meeting NQS</t>
        </is>
      </c>
      <c r="H126" t="inlineStr">
        <is>
          <t>Yes</t>
        </is>
      </c>
      <c r="I126" t="inlineStr">
        <is>
          <t>No</t>
        </is>
      </c>
      <c r="J126" t="inlineStr">
        <is>
          <t>No</t>
        </is>
      </c>
      <c r="K126" s="9" t="n">
        <v>43353</v>
      </c>
      <c r="L126" s="10" t="n">
        <v>0.3125</v>
      </c>
      <c r="M126" s="10" t="n">
        <v>0.75</v>
      </c>
      <c r="N126">
        <f>IFERROR(VLOOKUP(UPPER(D126),Suburb_LGA_Map!$A:$B,2,FALSE),"")</f>
        <v/>
      </c>
      <c r="O126" s="3" t="n">
        <v>1</v>
      </c>
      <c r="P126">
        <f>IF(K126="",0,IF(K126&gt;=DATE(2021,1,1),1,0))</f>
        <v/>
      </c>
      <c r="Q126">
        <f>IF(L126="",0,IF(L126&lt;TIME(7,0,0),1,0))</f>
        <v/>
      </c>
      <c r="R126">
        <f>IF(M126="",0,IF(M126&gt;TIME(18,0,0),1,0))</f>
        <v/>
      </c>
      <c r="S126">
        <f>IF(AND(H126="Yes",O126=1,COUNTIFS($C$2:C126,C126,$N$2:N126,N126,$H$2:H126,"Yes",$O$2:O126,1)=1),1,0)</f>
        <v/>
      </c>
      <c r="T126">
        <f>SUMIFS($F$2:$F$294,$C$2:$C$294,C126,$N$2:$N$294,N126,$H$2:$H$294,"Yes",$O$2:$O$294,1)</f>
        <v/>
      </c>
    </row>
    <row r="127">
      <c r="A127" t="inlineStr">
        <is>
          <t>SE-40013118</t>
        </is>
      </c>
      <c r="B127" t="inlineStr">
        <is>
          <t>The Montessori Preschool &amp; LDC of Sydney</t>
        </is>
      </c>
      <c r="C127" t="inlineStr">
        <is>
          <t>THE MONTESSORI PRESCHOOL &amp; LDC OF SYDNEY PTY LTD</t>
        </is>
      </c>
      <c r="D127" t="inlineStr">
        <is>
          <t>MASCOT</t>
        </is>
      </c>
      <c r="E127" t="inlineStr">
        <is>
          <t>2020</t>
        </is>
      </c>
      <c r="F127" t="n">
        <v>80</v>
      </c>
      <c r="G127" t="inlineStr">
        <is>
          <t>Meeting NQS</t>
        </is>
      </c>
      <c r="H127" t="inlineStr">
        <is>
          <t>Yes</t>
        </is>
      </c>
      <c r="I127" t="inlineStr">
        <is>
          <t>No</t>
        </is>
      </c>
      <c r="J127" t="inlineStr">
        <is>
          <t>No</t>
        </is>
      </c>
      <c r="K127" s="9" t="n">
        <v>43312</v>
      </c>
      <c r="L127" s="10" t="n">
        <v>0.2916666666666667</v>
      </c>
      <c r="M127" s="10" t="n">
        <v>0.75</v>
      </c>
      <c r="N127">
        <f>IFERROR(VLOOKUP(UPPER(D127),Suburb_LGA_Map!$A:$B,2,FALSE),"")</f>
        <v/>
      </c>
      <c r="O127" s="3" t="n">
        <v>1</v>
      </c>
      <c r="P127">
        <f>IF(K127="",0,IF(K127&gt;=DATE(2021,1,1),1,0))</f>
        <v/>
      </c>
      <c r="Q127">
        <f>IF(L127="",0,IF(L127&lt;TIME(7,0,0),1,0))</f>
        <v/>
      </c>
      <c r="R127">
        <f>IF(M127="",0,IF(M127&gt;TIME(18,0,0),1,0))</f>
        <v/>
      </c>
      <c r="S127">
        <f>IF(AND(H127="Yes",O127=1,COUNTIFS($C$2:C127,C127,$N$2:N127,N127,$H$2:H127,"Yes",$O$2:O127,1)=1),1,0)</f>
        <v/>
      </c>
      <c r="T127">
        <f>SUMIFS($F$2:$F$294,$C$2:$C$294,C127,$N$2:$N$294,N127,$H$2:$H$294,"Yes",$O$2:$O$294,1)</f>
        <v/>
      </c>
    </row>
    <row r="128">
      <c r="A128" t="inlineStr">
        <is>
          <t>SE-40013327</t>
        </is>
      </c>
      <c r="B128" t="inlineStr">
        <is>
          <t>Little Endeavours Early Learning Centre</t>
        </is>
      </c>
      <c r="C128" t="inlineStr">
        <is>
          <t>Little Endeavours Early Learning Centre Pty Ltd</t>
        </is>
      </c>
      <c r="D128" t="inlineStr">
        <is>
          <t>SANS SOUCI</t>
        </is>
      </c>
      <c r="E128" t="inlineStr">
        <is>
          <t>2219</t>
        </is>
      </c>
      <c r="F128" t="n">
        <v>67</v>
      </c>
      <c r="G128" t="inlineStr">
        <is>
          <t>Meeting NQS</t>
        </is>
      </c>
      <c r="H128" t="inlineStr">
        <is>
          <t>Yes</t>
        </is>
      </c>
      <c r="I128" t="inlineStr">
        <is>
          <t>No</t>
        </is>
      </c>
      <c r="J128" t="inlineStr">
        <is>
          <t>No</t>
        </is>
      </c>
      <c r="K128" s="9" t="n">
        <v>43332</v>
      </c>
      <c r="L128" s="10" t="n">
        <v>0.2916666666666667</v>
      </c>
      <c r="M128" s="10" t="n">
        <v>0.75</v>
      </c>
      <c r="N128">
        <f>IFERROR(VLOOKUP(UPPER(D128),Suburb_LGA_Map!$A:$B,2,FALSE),"")</f>
        <v/>
      </c>
      <c r="O128" s="3" t="n">
        <v>1</v>
      </c>
      <c r="P128">
        <f>IF(K128="",0,IF(K128&gt;=DATE(2021,1,1),1,0))</f>
        <v/>
      </c>
      <c r="Q128">
        <f>IF(L128="",0,IF(L128&lt;TIME(7,0,0),1,0))</f>
        <v/>
      </c>
      <c r="R128">
        <f>IF(M128="",0,IF(M128&gt;TIME(18,0,0),1,0))</f>
        <v/>
      </c>
      <c r="S128">
        <f>IF(AND(H128="Yes",O128=1,COUNTIFS($C$2:C128,C128,$N$2:N128,N128,$H$2:H128,"Yes",$O$2:O128,1)=1),1,0)</f>
        <v/>
      </c>
      <c r="T128">
        <f>SUMIFS($F$2:$F$294,$C$2:$C$294,C128,$N$2:$N$294,N128,$H$2:$H$294,"Yes",$O$2:$O$294,1)</f>
        <v/>
      </c>
    </row>
    <row r="129">
      <c r="A129" t="inlineStr">
        <is>
          <t>SE-00008439</t>
        </is>
      </c>
      <c r="B129" t="inlineStr">
        <is>
          <t>Montessori By - The - Bay</t>
        </is>
      </c>
      <c r="C129" t="inlineStr">
        <is>
          <t>Anba Wanis Pty Ltd</t>
        </is>
      </c>
      <c r="D129" t="inlineStr">
        <is>
          <t>MONTEREY</t>
        </is>
      </c>
      <c r="E129" t="inlineStr">
        <is>
          <t>2217</t>
        </is>
      </c>
      <c r="F129" t="n">
        <v>25</v>
      </c>
      <c r="G129" t="inlineStr">
        <is>
          <t>Meeting NQS</t>
        </is>
      </c>
      <c r="H129" t="inlineStr">
        <is>
          <t>Yes</t>
        </is>
      </c>
      <c r="I129" t="inlineStr">
        <is>
          <t>No</t>
        </is>
      </c>
      <c r="J129" t="inlineStr">
        <is>
          <t>No</t>
        </is>
      </c>
      <c r="K129" s="9" t="n">
        <v>39630</v>
      </c>
      <c r="L129" s="10" t="n">
        <v>0.3125</v>
      </c>
      <c r="M129" s="10" t="n">
        <v>0.7291666666666666</v>
      </c>
      <c r="N129">
        <f>IFERROR(VLOOKUP(UPPER(D129),Suburb_LGA_Map!$A:$B,2,FALSE),"")</f>
        <v/>
      </c>
      <c r="O129" s="3" t="n">
        <v>1</v>
      </c>
      <c r="P129">
        <f>IF(K129="",0,IF(K129&gt;=DATE(2021,1,1),1,0))</f>
        <v/>
      </c>
      <c r="Q129">
        <f>IF(L129="",0,IF(L129&lt;TIME(7,0,0),1,0))</f>
        <v/>
      </c>
      <c r="R129">
        <f>IF(M129="",0,IF(M129&gt;TIME(18,0,0),1,0))</f>
        <v/>
      </c>
      <c r="S129">
        <f>IF(AND(H129="Yes",O129=1,COUNTIFS($C$2:C129,C129,$N$2:N129,N129,$H$2:H129,"Yes",$O$2:O129,1)=1),1,0)</f>
        <v/>
      </c>
      <c r="T129">
        <f>SUMIFS($F$2:$F$294,$C$2:$C$294,C129,$N$2:$N$294,N129,$H$2:$H$294,"Yes",$O$2:$O$294,1)</f>
        <v/>
      </c>
    </row>
    <row r="130">
      <c r="A130" t="inlineStr">
        <is>
          <t>SE-00008542</t>
        </is>
      </c>
      <c r="B130" t="inlineStr">
        <is>
          <t>Neutral Bay Kindergarten</t>
        </is>
      </c>
      <c r="C130" t="inlineStr">
        <is>
          <t>Kiddie Land Pty Ltd</t>
        </is>
      </c>
      <c r="D130" t="inlineStr">
        <is>
          <t>CREMORNE</t>
        </is>
      </c>
      <c r="E130" t="inlineStr">
        <is>
          <t>2090</t>
        </is>
      </c>
      <c r="F130" t="n">
        <v>57</v>
      </c>
      <c r="G130" t="inlineStr">
        <is>
          <t>Meeting NQS</t>
        </is>
      </c>
      <c r="H130" t="inlineStr">
        <is>
          <t>Yes</t>
        </is>
      </c>
      <c r="I130" t="inlineStr">
        <is>
          <t>No</t>
        </is>
      </c>
      <c r="J130" t="inlineStr">
        <is>
          <t>No</t>
        </is>
      </c>
      <c r="K130" s="9" t="n">
        <v>39983</v>
      </c>
      <c r="L130" s="10" t="n">
        <v>0.3125</v>
      </c>
      <c r="M130" s="10" t="n">
        <v>0.75</v>
      </c>
      <c r="N130">
        <f>IFERROR(VLOOKUP(UPPER(D130),Suburb_LGA_Map!$A:$B,2,FALSE),"")</f>
        <v/>
      </c>
      <c r="O130" s="3" t="n">
        <v>1</v>
      </c>
      <c r="P130">
        <f>IF(K130="",0,IF(K130&gt;=DATE(2021,1,1),1,0))</f>
        <v/>
      </c>
      <c r="Q130">
        <f>IF(L130="",0,IF(L130&lt;TIME(7,0,0),1,0))</f>
        <v/>
      </c>
      <c r="R130">
        <f>IF(M130="",0,IF(M130&gt;TIME(18,0,0),1,0))</f>
        <v/>
      </c>
      <c r="S130">
        <f>IF(AND(H130="Yes",O130=1,COUNTIFS($C$2:C130,C130,$N$2:N130,N130,$H$2:H130,"Yes",$O$2:O130,1)=1),1,0)</f>
        <v/>
      </c>
      <c r="T130">
        <f>SUMIFS($F$2:$F$294,$C$2:$C$294,C130,$N$2:$N$294,N130,$H$2:$H$294,"Yes",$O$2:$O$294,1)</f>
        <v/>
      </c>
    </row>
    <row r="131">
      <c r="A131" t="inlineStr">
        <is>
          <t>SE-00008543</t>
        </is>
      </c>
      <c r="B131" t="inlineStr">
        <is>
          <t>Neutral Bay Pre-school</t>
        </is>
      </c>
      <c r="C131" t="inlineStr">
        <is>
          <t>DALB Holdings PTY LTD</t>
        </is>
      </c>
      <c r="D131" t="inlineStr">
        <is>
          <t>NEUTRAL BAY</t>
        </is>
      </c>
      <c r="E131" t="inlineStr">
        <is>
          <t>2089</t>
        </is>
      </c>
      <c r="F131" t="n">
        <v>48</v>
      </c>
      <c r="G131" t="inlineStr">
        <is>
          <t>Meeting NQS</t>
        </is>
      </c>
      <c r="H131" t="inlineStr">
        <is>
          <t>Yes</t>
        </is>
      </c>
      <c r="I131" t="inlineStr">
        <is>
          <t>No</t>
        </is>
      </c>
      <c r="J131" t="inlineStr">
        <is>
          <t>No</t>
        </is>
      </c>
      <c r="K131" s="9" t="n">
        <v>39083</v>
      </c>
      <c r="L131" s="10" t="n">
        <v>0.3333333333333333</v>
      </c>
      <c r="M131" s="10" t="n">
        <v>0.75</v>
      </c>
      <c r="N131">
        <f>IFERROR(VLOOKUP(UPPER(D131),Suburb_LGA_Map!$A:$B,2,FALSE),"")</f>
        <v/>
      </c>
      <c r="O131" s="3" t="n">
        <v>1</v>
      </c>
      <c r="P131">
        <f>IF(K131="",0,IF(K131&gt;=DATE(2021,1,1),1,0))</f>
        <v/>
      </c>
      <c r="Q131">
        <f>IF(L131="",0,IF(L131&lt;TIME(7,0,0),1,0))</f>
        <v/>
      </c>
      <c r="R131">
        <f>IF(M131="",0,IF(M131&gt;TIME(18,0,0),1,0))</f>
        <v/>
      </c>
      <c r="S131">
        <f>IF(AND(H131="Yes",O131=1,COUNTIFS($C$2:C131,C131,$N$2:N131,N131,$H$2:H131,"Yes",$O$2:O131,1)=1),1,0)</f>
        <v/>
      </c>
      <c r="T131">
        <f>SUMIFS($F$2:$F$294,$C$2:$C$294,C131,$N$2:$N$294,N131,$H$2:$H$294,"Yes",$O$2:$O$294,1)</f>
        <v/>
      </c>
    </row>
    <row r="132">
      <c r="A132" t="inlineStr">
        <is>
          <t>SE-00008552</t>
        </is>
      </c>
      <c r="B132" t="inlineStr">
        <is>
          <t>SUNNY DAISY EARLY LEARNING CENTRE</t>
        </is>
      </c>
      <c r="C132" t="inlineStr">
        <is>
          <t>Sunny Daisy Pty Ltd</t>
        </is>
      </c>
      <c r="D132" t="inlineStr">
        <is>
          <t>WAHROONGA</t>
        </is>
      </c>
      <c r="E132" t="inlineStr">
        <is>
          <t>2076</t>
        </is>
      </c>
      <c r="F132" t="n">
        <v>40</v>
      </c>
      <c r="G132" t="inlineStr">
        <is>
          <t>Meeting NQS</t>
        </is>
      </c>
      <c r="H132" t="inlineStr">
        <is>
          <t>Yes</t>
        </is>
      </c>
      <c r="I132" t="inlineStr">
        <is>
          <t>No</t>
        </is>
      </c>
      <c r="J132" t="inlineStr">
        <is>
          <t>No</t>
        </is>
      </c>
      <c r="K132" s="9" t="n">
        <v>39433</v>
      </c>
      <c r="L132" s="10" t="n">
        <v>0.3125</v>
      </c>
      <c r="M132" s="10" t="n">
        <v>0.75</v>
      </c>
      <c r="N132">
        <f>IFERROR(VLOOKUP(UPPER(D132),Suburb_LGA_Map!$A:$B,2,FALSE),"")</f>
        <v/>
      </c>
      <c r="O132" s="3" t="n">
        <v>1</v>
      </c>
      <c r="P132">
        <f>IF(K132="",0,IF(K132&gt;=DATE(2021,1,1),1,0))</f>
        <v/>
      </c>
      <c r="Q132">
        <f>IF(L132="",0,IF(L132&lt;TIME(7,0,0),1,0))</f>
        <v/>
      </c>
      <c r="R132">
        <f>IF(M132="",0,IF(M132&gt;TIME(18,0,0),1,0))</f>
        <v/>
      </c>
      <c r="S132">
        <f>IF(AND(H132="Yes",O132=1,COUNTIFS($C$2:C132,C132,$N$2:N132,N132,$H$2:H132,"Yes",$O$2:O132,1)=1),1,0)</f>
        <v/>
      </c>
      <c r="T132">
        <f>SUMIFS($F$2:$F$294,$C$2:$C$294,C132,$N$2:$N$294,N132,$H$2:$H$294,"Yes",$O$2:$O$294,1)</f>
        <v/>
      </c>
    </row>
    <row r="133">
      <c r="A133" t="inlineStr">
        <is>
          <t>SE-40022207</t>
        </is>
      </c>
      <c r="B133" t="inlineStr">
        <is>
          <t>SCECS OSHC St Francis Xavier's Arncliffe</t>
        </is>
      </c>
      <c r="C133" t="inlineStr">
        <is>
          <t>SYDNEY CATHOLIC EARLY CHILDHOOD SERVICES LTD</t>
        </is>
      </c>
      <c r="D133" t="inlineStr">
        <is>
          <t>ARNCLIFFE</t>
        </is>
      </c>
      <c r="E133" t="inlineStr">
        <is>
          <t>2205</t>
        </is>
      </c>
      <c r="F133" t="n">
        <v>120</v>
      </c>
      <c r="G133" t="inlineStr">
        <is>
          <t>Meeting NQS</t>
        </is>
      </c>
      <c r="H133" t="inlineStr">
        <is>
          <t>No</t>
        </is>
      </c>
      <c r="I133" t="inlineStr">
        <is>
          <t>No</t>
        </is>
      </c>
      <c r="J133" t="inlineStr">
        <is>
          <t>Yes</t>
        </is>
      </c>
      <c r="K133" s="9" t="n">
        <v>44578</v>
      </c>
      <c r="L133" s="10" t="n"/>
      <c r="M133" s="10" t="n"/>
      <c r="N133">
        <f>IFERROR(VLOOKUP(UPPER(D133),Suburb_LGA_Map!$A:$B,2,FALSE),"")</f>
        <v/>
      </c>
      <c r="O133" s="3" t="n">
        <v>1</v>
      </c>
      <c r="P133">
        <f>IF(K133="",0,IF(K133&gt;=DATE(2021,1,1),1,0))</f>
        <v/>
      </c>
      <c r="Q133">
        <f>IF(L133="",0,IF(L133&lt;TIME(7,0,0),1,0))</f>
        <v/>
      </c>
      <c r="R133">
        <f>IF(M133="",0,IF(M133&gt;TIME(18,0,0),1,0))</f>
        <v/>
      </c>
      <c r="S133">
        <f>IF(AND(H133="Yes",O133=1,COUNTIFS($C$2:C133,C133,$N$2:N133,N133,$H$2:H133,"Yes",$O$2:O133,1)=1),1,0)</f>
        <v/>
      </c>
      <c r="T133">
        <f>SUMIFS($F$2:$F$294,$C$2:$C$294,C133,$N$2:$N$294,N133,$H$2:$H$294,"Yes",$O$2:$O$294,1)</f>
        <v/>
      </c>
    </row>
    <row r="134">
      <c r="A134" t="inlineStr">
        <is>
          <t>SE-40022298</t>
        </is>
      </c>
      <c r="B134" t="inlineStr">
        <is>
          <t>SCECS OSHC St Therese Mascot</t>
        </is>
      </c>
      <c r="C134" t="inlineStr">
        <is>
          <t>SYDNEY CATHOLIC EARLY CHILDHOOD SERVICES LTD</t>
        </is>
      </c>
      <c r="D134" t="inlineStr">
        <is>
          <t>MASCOT</t>
        </is>
      </c>
      <c r="E134" t="inlineStr">
        <is>
          <t>2020</t>
        </is>
      </c>
      <c r="F134" t="n">
        <v>164</v>
      </c>
      <c r="G134" t="inlineStr">
        <is>
          <t>Meeting NQS</t>
        </is>
      </c>
      <c r="H134" t="inlineStr">
        <is>
          <t>No</t>
        </is>
      </c>
      <c r="I134" t="inlineStr">
        <is>
          <t>No</t>
        </is>
      </c>
      <c r="J134" t="inlineStr">
        <is>
          <t>Yes</t>
        </is>
      </c>
      <c r="K134" s="9" t="n">
        <v>44581</v>
      </c>
      <c r="L134" s="10" t="n"/>
      <c r="M134" s="10" t="n"/>
      <c r="N134">
        <f>IFERROR(VLOOKUP(UPPER(D134),Suburb_LGA_Map!$A:$B,2,FALSE),"")</f>
        <v/>
      </c>
      <c r="O134" s="3" t="n">
        <v>1</v>
      </c>
      <c r="P134">
        <f>IF(K134="",0,IF(K134&gt;=DATE(2021,1,1),1,0))</f>
        <v/>
      </c>
      <c r="Q134">
        <f>IF(L134="",0,IF(L134&lt;TIME(7,0,0),1,0))</f>
        <v/>
      </c>
      <c r="R134">
        <f>IF(M134="",0,IF(M134&gt;TIME(18,0,0),1,0))</f>
        <v/>
      </c>
      <c r="S134">
        <f>IF(AND(H134="Yes",O134=1,COUNTIFS($C$2:C134,C134,$N$2:N134,N134,$H$2:H134,"Yes",$O$2:O134,1)=1),1,0)</f>
        <v/>
      </c>
      <c r="T134">
        <f>SUMIFS($F$2:$F$294,$C$2:$C$294,C134,$N$2:$N$294,N134,$H$2:$H$294,"Yes",$O$2:$O$294,1)</f>
        <v/>
      </c>
    </row>
    <row r="135">
      <c r="A135" t="inlineStr">
        <is>
          <t>SE-40022299</t>
        </is>
      </c>
      <c r="B135" t="inlineStr">
        <is>
          <t>SCECS OSHC St Finbar's Sans Souci</t>
        </is>
      </c>
      <c r="C135" t="inlineStr">
        <is>
          <t>SYDNEY CATHOLIC EARLY CHILDHOOD SERVICES LTD</t>
        </is>
      </c>
      <c r="D135" t="inlineStr">
        <is>
          <t>SANS SOUCI</t>
        </is>
      </c>
      <c r="E135" t="inlineStr">
        <is>
          <t>2219</t>
        </is>
      </c>
      <c r="F135" t="n">
        <v>58</v>
      </c>
      <c r="G135" t="inlineStr">
        <is>
          <t>Meeting NQS</t>
        </is>
      </c>
      <c r="H135" t="inlineStr">
        <is>
          <t>No</t>
        </is>
      </c>
      <c r="I135" t="inlineStr">
        <is>
          <t>No</t>
        </is>
      </c>
      <c r="J135" t="inlineStr">
        <is>
          <t>Yes</t>
        </is>
      </c>
      <c r="K135" s="9" t="n">
        <v>44579</v>
      </c>
      <c r="L135" s="10" t="n"/>
      <c r="M135" s="10" t="n"/>
      <c r="N135">
        <f>IFERROR(VLOOKUP(UPPER(D135),Suburb_LGA_Map!$A:$B,2,FALSE),"")</f>
        <v/>
      </c>
      <c r="O135" s="3" t="n">
        <v>1</v>
      </c>
      <c r="P135">
        <f>IF(K135="",0,IF(K135&gt;=DATE(2021,1,1),1,0))</f>
        <v/>
      </c>
      <c r="Q135">
        <f>IF(L135="",0,IF(L135&lt;TIME(7,0,0),1,0))</f>
        <v/>
      </c>
      <c r="R135">
        <f>IF(M135="",0,IF(M135&gt;TIME(18,0,0),1,0))</f>
        <v/>
      </c>
      <c r="S135">
        <f>IF(AND(H135="Yes",O135=1,COUNTIFS($C$2:C135,C135,$N$2:N135,N135,$H$2:H135,"Yes",$O$2:O135,1)=1),1,0)</f>
        <v/>
      </c>
      <c r="T135">
        <f>SUMIFS($F$2:$F$294,$C$2:$C$294,C135,$N$2:$N$294,N135,$H$2:$H$294,"Yes",$O$2:$O$294,1)</f>
        <v/>
      </c>
    </row>
    <row r="136">
      <c r="A136" t="inlineStr">
        <is>
          <t>SE-00006320</t>
        </is>
      </c>
      <c r="B136" t="inlineStr">
        <is>
          <t>Goodstart Early Learning St Leonards - Christie Street</t>
        </is>
      </c>
      <c r="C136" t="inlineStr">
        <is>
          <t>Goodstart Early Learning Ltd</t>
        </is>
      </c>
      <c r="D136" t="inlineStr">
        <is>
          <t>ST LEONARDS</t>
        </is>
      </c>
      <c r="E136" t="inlineStr">
        <is>
          <t>2065</t>
        </is>
      </c>
      <c r="F136" t="n">
        <v>66</v>
      </c>
      <c r="G136" t="inlineStr">
        <is>
          <t>Meeting NQS</t>
        </is>
      </c>
      <c r="H136" t="inlineStr">
        <is>
          <t>Yes</t>
        </is>
      </c>
      <c r="I136" t="inlineStr">
        <is>
          <t>No</t>
        </is>
      </c>
      <c r="J136" t="inlineStr">
        <is>
          <t>No</t>
        </is>
      </c>
      <c r="K136" s="9" t="n">
        <v>39465</v>
      </c>
      <c r="L136" s="10" t="n">
        <v>0.3125</v>
      </c>
      <c r="M136" s="10" t="n">
        <v>0.75</v>
      </c>
      <c r="N136">
        <f>IFERROR(VLOOKUP(UPPER(D136),Suburb_LGA_Map!$A:$B,2,FALSE),"")</f>
        <v/>
      </c>
      <c r="O136" s="3" t="n">
        <v>1</v>
      </c>
      <c r="P136">
        <f>IF(K136="",0,IF(K136&gt;=DATE(2021,1,1),1,0))</f>
        <v/>
      </c>
      <c r="Q136">
        <f>IF(L136="",0,IF(L136&lt;TIME(7,0,0),1,0))</f>
        <v/>
      </c>
      <c r="R136">
        <f>IF(M136="",0,IF(M136&gt;TIME(18,0,0),1,0))</f>
        <v/>
      </c>
      <c r="S136">
        <f>IF(AND(H136="Yes",O136=1,COUNTIFS($C$2:C136,C136,$N$2:N136,N136,$H$2:H136,"Yes",$O$2:O136,1)=1),1,0)</f>
        <v/>
      </c>
      <c r="T136">
        <f>SUMIFS($F$2:$F$294,$C$2:$C$294,C136,$N$2:$N$294,N136,$H$2:$H$294,"Yes",$O$2:$O$294,1)</f>
        <v/>
      </c>
    </row>
    <row r="137">
      <c r="A137" t="inlineStr">
        <is>
          <t>SE-00006338</t>
        </is>
      </c>
      <c r="B137" t="inlineStr">
        <is>
          <t>Goodstart Early Learning North Sydney - West Street</t>
        </is>
      </c>
      <c r="C137" t="inlineStr">
        <is>
          <t>Goodstart Early Learning Ltd</t>
        </is>
      </c>
      <c r="D137" t="inlineStr">
        <is>
          <t>NORTH SYDNEY</t>
        </is>
      </c>
      <c r="E137" t="inlineStr">
        <is>
          <t>2060</t>
        </is>
      </c>
      <c r="F137" t="n">
        <v>63</v>
      </c>
      <c r="G137" t="inlineStr">
        <is>
          <t>Meeting NQS</t>
        </is>
      </c>
      <c r="H137" t="inlineStr">
        <is>
          <t>Yes</t>
        </is>
      </c>
      <c r="I137" t="inlineStr">
        <is>
          <t>No</t>
        </is>
      </c>
      <c r="J137" t="inlineStr">
        <is>
          <t>No</t>
        </is>
      </c>
      <c r="K137" s="9" t="n">
        <v>39848</v>
      </c>
      <c r="L137" s="10" t="n">
        <v>0.3125</v>
      </c>
      <c r="M137" s="10" t="n">
        <v>0.75</v>
      </c>
      <c r="N137">
        <f>IFERROR(VLOOKUP(UPPER(D137),Suburb_LGA_Map!$A:$B,2,FALSE),"")</f>
        <v/>
      </c>
      <c r="O137" s="3" t="n">
        <v>1</v>
      </c>
      <c r="P137">
        <f>IF(K137="",0,IF(K137&gt;=DATE(2021,1,1),1,0))</f>
        <v/>
      </c>
      <c r="Q137">
        <f>IF(L137="",0,IF(L137&lt;TIME(7,0,0),1,0))</f>
        <v/>
      </c>
      <c r="R137">
        <f>IF(M137="",0,IF(M137&gt;TIME(18,0,0),1,0))</f>
        <v/>
      </c>
      <c r="S137">
        <f>IF(AND(H137="Yes",O137=1,COUNTIFS($C$2:C137,C137,$N$2:N137,N137,$H$2:H137,"Yes",$O$2:O137,1)=1),1,0)</f>
        <v/>
      </c>
      <c r="T137">
        <f>SUMIFS($F$2:$F$294,$C$2:$C$294,C137,$N$2:$N$294,N137,$H$2:$H$294,"Yes",$O$2:$O$294,1)</f>
        <v/>
      </c>
    </row>
    <row r="138">
      <c r="A138" t="inlineStr">
        <is>
          <t>SE-00006350</t>
        </is>
      </c>
      <c r="B138" t="inlineStr">
        <is>
          <t>Abbotsleigh Early Learning Centre</t>
        </is>
      </c>
      <c r="C138" t="inlineStr">
        <is>
          <t>The Council of Abbotsleigh</t>
        </is>
      </c>
      <c r="D138" t="inlineStr">
        <is>
          <t>WAHROONGA</t>
        </is>
      </c>
      <c r="E138" t="inlineStr">
        <is>
          <t>2076</t>
        </is>
      </c>
      <c r="F138" t="n">
        <v>70</v>
      </c>
      <c r="G138" t="inlineStr">
        <is>
          <t>Exceeding NQS</t>
        </is>
      </c>
      <c r="H138" t="inlineStr">
        <is>
          <t>Yes</t>
        </is>
      </c>
      <c r="I138" t="inlineStr">
        <is>
          <t>No</t>
        </is>
      </c>
      <c r="J138" t="inlineStr">
        <is>
          <t>No</t>
        </is>
      </c>
      <c r="K138" s="9" t="n">
        <v>40274</v>
      </c>
      <c r="L138" s="10" t="n">
        <v>0.3125</v>
      </c>
      <c r="M138" s="10" t="n">
        <v>0.7708333333333334</v>
      </c>
      <c r="N138">
        <f>IFERROR(VLOOKUP(UPPER(D138),Suburb_LGA_Map!$A:$B,2,FALSE),"")</f>
        <v/>
      </c>
      <c r="O138" s="3" t="n">
        <v>1</v>
      </c>
      <c r="P138">
        <f>IF(K138="",0,IF(K138&gt;=DATE(2021,1,1),1,0))</f>
        <v/>
      </c>
      <c r="Q138">
        <f>IF(L138="",0,IF(L138&lt;TIME(7,0,0),1,0))</f>
        <v/>
      </c>
      <c r="R138">
        <f>IF(M138="",0,IF(M138&gt;TIME(18,0,0),1,0))</f>
        <v/>
      </c>
      <c r="S138">
        <f>IF(AND(H138="Yes",O138=1,COUNTIFS($C$2:C138,C138,$N$2:N138,N138,$H$2:H138,"Yes",$O$2:O138,1)=1),1,0)</f>
        <v/>
      </c>
      <c r="T138">
        <f>SUMIFS($F$2:$F$294,$C$2:$C$294,C138,$N$2:$N$294,N138,$H$2:$H$294,"Yes",$O$2:$O$294,1)</f>
        <v/>
      </c>
    </row>
    <row r="139">
      <c r="A139" t="inlineStr">
        <is>
          <t>SE-00006363</t>
        </is>
      </c>
      <c r="B139" t="inlineStr">
        <is>
          <t>Guardian Childcare &amp; Education Pymble</t>
        </is>
      </c>
      <c r="C139" t="inlineStr">
        <is>
          <t>Guardian Community Early Learning Centres Pty Ltd</t>
        </is>
      </c>
      <c r="D139" t="inlineStr">
        <is>
          <t>PYMBLE</t>
        </is>
      </c>
      <c r="E139" t="inlineStr">
        <is>
          <t>2073</t>
        </is>
      </c>
      <c r="F139" t="n">
        <v>98</v>
      </c>
      <c r="G139" t="inlineStr">
        <is>
          <t>Meeting NQS</t>
        </is>
      </c>
      <c r="H139" t="inlineStr">
        <is>
          <t>Yes</t>
        </is>
      </c>
      <c r="I139" t="inlineStr">
        <is>
          <t>No</t>
        </is>
      </c>
      <c r="J139" t="inlineStr">
        <is>
          <t>No</t>
        </is>
      </c>
      <c r="K139" s="9" t="n">
        <v>38982</v>
      </c>
      <c r="L139" s="10" t="n">
        <v>0.2916666666666667</v>
      </c>
      <c r="M139" s="10" t="n">
        <v>0.7708333333333334</v>
      </c>
      <c r="N139">
        <f>IFERROR(VLOOKUP(UPPER(D139),Suburb_LGA_Map!$A:$B,2,FALSE),"")</f>
        <v/>
      </c>
      <c r="O139" s="3" t="n">
        <v>1</v>
      </c>
      <c r="P139">
        <f>IF(K139="",0,IF(K139&gt;=DATE(2021,1,1),1,0))</f>
        <v/>
      </c>
      <c r="Q139">
        <f>IF(L139="",0,IF(L139&lt;TIME(7,0,0),1,0))</f>
        <v/>
      </c>
      <c r="R139">
        <f>IF(M139="",0,IF(M139&gt;TIME(18,0,0),1,0))</f>
        <v/>
      </c>
      <c r="S139">
        <f>IF(AND(H139="Yes",O139=1,COUNTIFS($C$2:C139,C139,$N$2:N139,N139,$H$2:H139,"Yes",$O$2:O139,1)=1),1,0)</f>
        <v/>
      </c>
      <c r="T139">
        <f>SUMIFS($F$2:$F$294,$C$2:$C$294,C139,$N$2:$N$294,N139,$H$2:$H$294,"Yes",$O$2:$O$294,1)</f>
        <v/>
      </c>
    </row>
    <row r="140">
      <c r="A140" t="inlineStr">
        <is>
          <t>SE-00006366</t>
        </is>
      </c>
      <c r="B140" t="inlineStr">
        <is>
          <t>Active Kids - Mascot</t>
        </is>
      </c>
      <c r="C140" t="inlineStr">
        <is>
          <t>Active Kids Pre School Centre of Excellence Pty Ltd</t>
        </is>
      </c>
      <c r="D140" t="inlineStr">
        <is>
          <t>MASCOT</t>
        </is>
      </c>
      <c r="E140" t="inlineStr">
        <is>
          <t>2020</t>
        </is>
      </c>
      <c r="F140" t="n">
        <v>67</v>
      </c>
      <c r="G140" t="inlineStr">
        <is>
          <t>Meeting NQS</t>
        </is>
      </c>
      <c r="H140" t="inlineStr">
        <is>
          <t>Yes</t>
        </is>
      </c>
      <c r="I140" t="inlineStr">
        <is>
          <t>No</t>
        </is>
      </c>
      <c r="J140" t="inlineStr">
        <is>
          <t>No</t>
        </is>
      </c>
      <c r="K140" s="9" t="n">
        <v>39127</v>
      </c>
      <c r="L140" s="10" t="n">
        <v>0.2916666666666667</v>
      </c>
      <c r="M140" s="10" t="n">
        <v>0.75</v>
      </c>
      <c r="N140">
        <f>IFERROR(VLOOKUP(UPPER(D140),Suburb_LGA_Map!$A:$B,2,FALSE),"")</f>
        <v/>
      </c>
      <c r="O140" s="3" t="n">
        <v>1</v>
      </c>
      <c r="P140">
        <f>IF(K140="",0,IF(K140&gt;=DATE(2021,1,1),1,0))</f>
        <v/>
      </c>
      <c r="Q140">
        <f>IF(L140="",0,IF(L140&lt;TIME(7,0,0),1,0))</f>
        <v/>
      </c>
      <c r="R140">
        <f>IF(M140="",0,IF(M140&gt;TIME(18,0,0),1,0))</f>
        <v/>
      </c>
      <c r="S140">
        <f>IF(AND(H140="Yes",O140=1,COUNTIFS($C$2:C140,C140,$N$2:N140,N140,$H$2:H140,"Yes",$O$2:O140,1)=1),1,0)</f>
        <v/>
      </c>
      <c r="T140">
        <f>SUMIFS($F$2:$F$294,$C$2:$C$294,C140,$N$2:$N$294,N140,$H$2:$H$294,"Yes",$O$2:$O$294,1)</f>
        <v/>
      </c>
    </row>
    <row r="141">
      <c r="A141" t="inlineStr">
        <is>
          <t>SE-00006387</t>
        </is>
      </c>
      <c r="B141" t="inlineStr">
        <is>
          <t>Story House Early Learning Mascot</t>
        </is>
      </c>
      <c r="C141" t="inlineStr">
        <is>
          <t>Story House Early Learning No 16 Pty Ltd</t>
        </is>
      </c>
      <c r="D141" t="inlineStr">
        <is>
          <t>MASCOT</t>
        </is>
      </c>
      <c r="E141" t="inlineStr">
        <is>
          <t>2020</t>
        </is>
      </c>
      <c r="F141" t="n">
        <v>90</v>
      </c>
      <c r="G141" t="inlineStr">
        <is>
          <t>Meeting NQS</t>
        </is>
      </c>
      <c r="H141" t="inlineStr">
        <is>
          <t>Yes</t>
        </is>
      </c>
      <c r="I141" t="inlineStr">
        <is>
          <t>No</t>
        </is>
      </c>
      <c r="J141" t="inlineStr">
        <is>
          <t>No</t>
        </is>
      </c>
      <c r="K141" s="9" t="n">
        <v>39829</v>
      </c>
      <c r="L141" s="10" t="n">
        <v>0.2916666666666667</v>
      </c>
      <c r="M141" s="10" t="n">
        <v>0.7708333333333334</v>
      </c>
      <c r="N141">
        <f>IFERROR(VLOOKUP(UPPER(D141),Suburb_LGA_Map!$A:$B,2,FALSE),"")</f>
        <v/>
      </c>
      <c r="O141" s="3" t="n">
        <v>1</v>
      </c>
      <c r="P141">
        <f>IF(K141="",0,IF(K141&gt;=DATE(2021,1,1),1,0))</f>
        <v/>
      </c>
      <c r="Q141">
        <f>IF(L141="",0,IF(L141&lt;TIME(7,0,0),1,0))</f>
        <v/>
      </c>
      <c r="R141">
        <f>IF(M141="",0,IF(M141&gt;TIME(18,0,0),1,0))</f>
        <v/>
      </c>
      <c r="S141">
        <f>IF(AND(H141="Yes",O141=1,COUNTIFS($C$2:C141,C141,$N$2:N141,N141,$H$2:H141,"Yes",$O$2:O141,1)=1),1,0)</f>
        <v/>
      </c>
      <c r="T141">
        <f>SUMIFS($F$2:$F$294,$C$2:$C$294,C141,$N$2:$N$294,N141,$H$2:$H$294,"Yes",$O$2:$O$294,1)</f>
        <v/>
      </c>
    </row>
    <row r="142">
      <c r="A142" t="inlineStr">
        <is>
          <t>SE-00006388</t>
        </is>
      </c>
      <c r="B142" t="inlineStr">
        <is>
          <t>Al Zahra College Preschool</t>
        </is>
      </c>
      <c r="C142" t="inlineStr">
        <is>
          <t>Al Zahra College Limited</t>
        </is>
      </c>
      <c r="D142" t="inlineStr">
        <is>
          <t>ARNCLIFFE</t>
        </is>
      </c>
      <c r="E142" t="inlineStr">
        <is>
          <t>2205</t>
        </is>
      </c>
      <c r="F142" t="n">
        <v>29</v>
      </c>
      <c r="G142" t="inlineStr">
        <is>
          <t>Meeting NQS</t>
        </is>
      </c>
      <c r="H142" t="inlineStr">
        <is>
          <t>Yes</t>
        </is>
      </c>
      <c r="I142" t="inlineStr">
        <is>
          <t>No</t>
        </is>
      </c>
      <c r="J142" t="inlineStr">
        <is>
          <t>No</t>
        </is>
      </c>
      <c r="K142" s="9" t="n">
        <v>40581</v>
      </c>
      <c r="L142" s="10" t="n">
        <v>0.3333333333333333</v>
      </c>
      <c r="M142" s="10" t="n">
        <v>0.6666666666666666</v>
      </c>
      <c r="N142">
        <f>IFERROR(VLOOKUP(UPPER(D142),Suburb_LGA_Map!$A:$B,2,FALSE),"")</f>
        <v/>
      </c>
      <c r="O142" s="3" t="n">
        <v>1</v>
      </c>
      <c r="P142">
        <f>IF(K142="",0,IF(K142&gt;=DATE(2021,1,1),1,0))</f>
        <v/>
      </c>
      <c r="Q142">
        <f>IF(L142="",0,IF(L142&lt;TIME(7,0,0),1,0))</f>
        <v/>
      </c>
      <c r="R142">
        <f>IF(M142="",0,IF(M142&gt;TIME(18,0,0),1,0))</f>
        <v/>
      </c>
      <c r="S142">
        <f>IF(AND(H142="Yes",O142=1,COUNTIFS($C$2:C142,C142,$N$2:N142,N142,$H$2:H142,"Yes",$O$2:O142,1)=1),1,0)</f>
        <v/>
      </c>
      <c r="T142">
        <f>SUMIFS($F$2:$F$294,$C$2:$C$294,C142,$N$2:$N$294,N142,$H$2:$H$294,"Yes",$O$2:$O$294,1)</f>
        <v/>
      </c>
    </row>
    <row r="143">
      <c r="A143" t="inlineStr">
        <is>
          <t>SE-00006399</t>
        </is>
      </c>
      <c r="B143" t="inlineStr">
        <is>
          <t>Albyn Cottage Child Care Centre</t>
        </is>
      </c>
      <c r="C143" t="inlineStr">
        <is>
          <t>Albyn Cottage Child Care Centre Pty Ltd</t>
        </is>
      </c>
      <c r="D143" t="inlineStr">
        <is>
          <t>BEXLEY</t>
        </is>
      </c>
      <c r="E143" t="inlineStr">
        <is>
          <t>2207</t>
        </is>
      </c>
      <c r="F143" t="n">
        <v>29</v>
      </c>
      <c r="G143" t="inlineStr">
        <is>
          <t>Meeting NQS</t>
        </is>
      </c>
      <c r="H143" t="inlineStr">
        <is>
          <t>Yes</t>
        </is>
      </c>
      <c r="I143" t="inlineStr">
        <is>
          <t>No</t>
        </is>
      </c>
      <c r="J143" t="inlineStr">
        <is>
          <t>No</t>
        </is>
      </c>
      <c r="K143" s="9" t="n">
        <v>39063</v>
      </c>
      <c r="L143" s="10" t="n">
        <v>0.3125</v>
      </c>
      <c r="M143" s="10" t="n">
        <v>0.75</v>
      </c>
      <c r="N143">
        <f>IFERROR(VLOOKUP(UPPER(D143),Suburb_LGA_Map!$A:$B,2,FALSE),"")</f>
        <v/>
      </c>
      <c r="O143" s="3" t="n">
        <v>1</v>
      </c>
      <c r="P143">
        <f>IF(K143="",0,IF(K143&gt;=DATE(2021,1,1),1,0))</f>
        <v/>
      </c>
      <c r="Q143">
        <f>IF(L143="",0,IF(L143&lt;TIME(7,0,0),1,0))</f>
        <v/>
      </c>
      <c r="R143">
        <f>IF(M143="",0,IF(M143&gt;TIME(18,0,0),1,0))</f>
        <v/>
      </c>
      <c r="S143">
        <f>IF(AND(H143="Yes",O143=1,COUNTIFS($C$2:C143,C143,$N$2:N143,N143,$H$2:H143,"Yes",$O$2:O143,1)=1),1,0)</f>
        <v/>
      </c>
      <c r="T143">
        <f>SUMIFS($F$2:$F$294,$C$2:$C$294,C143,$N$2:$N$294,N143,$H$2:$H$294,"Yes",$O$2:$O$294,1)</f>
        <v/>
      </c>
    </row>
    <row r="144">
      <c r="A144" t="inlineStr">
        <is>
          <t>SE-00006405</t>
        </is>
      </c>
      <c r="B144" t="inlineStr">
        <is>
          <t>All Star Early Learners</t>
        </is>
      </c>
      <c r="C144" t="inlineStr">
        <is>
          <t>Minghui Education Pty Ltd</t>
        </is>
      </c>
      <c r="D144" t="inlineStr">
        <is>
          <t>BOTANY</t>
        </is>
      </c>
      <c r="E144" t="inlineStr">
        <is>
          <t>2019</t>
        </is>
      </c>
      <c r="F144" t="n">
        <v>48</v>
      </c>
      <c r="G144" t="inlineStr">
        <is>
          <t>Meeting NQS</t>
        </is>
      </c>
      <c r="H144" t="inlineStr">
        <is>
          <t>Yes</t>
        </is>
      </c>
      <c r="I144" t="inlineStr">
        <is>
          <t>No</t>
        </is>
      </c>
      <c r="J144" t="inlineStr">
        <is>
          <t>No</t>
        </is>
      </c>
      <c r="K144" s="9" t="n">
        <v>39955</v>
      </c>
      <c r="L144" s="10" t="n">
        <v>0.2916666666666667</v>
      </c>
      <c r="M144" s="10" t="n">
        <v>0.7291666666666666</v>
      </c>
      <c r="N144">
        <f>IFERROR(VLOOKUP(UPPER(D144),Suburb_LGA_Map!$A:$B,2,FALSE),"")</f>
        <v/>
      </c>
      <c r="O144" s="3" t="n">
        <v>1</v>
      </c>
      <c r="P144">
        <f>IF(K144="",0,IF(K144&gt;=DATE(2021,1,1),1,0))</f>
        <v/>
      </c>
      <c r="Q144">
        <f>IF(L144="",0,IF(L144&lt;TIME(7,0,0),1,0))</f>
        <v/>
      </c>
      <c r="R144">
        <f>IF(M144="",0,IF(M144&gt;TIME(18,0,0),1,0))</f>
        <v/>
      </c>
      <c r="S144">
        <f>IF(AND(H144="Yes",O144=1,COUNTIFS($C$2:C144,C144,$N$2:N144,N144,$H$2:H144,"Yes",$O$2:O144,1)=1),1,0)</f>
        <v/>
      </c>
      <c r="T144">
        <f>SUMIFS($F$2:$F$294,$C$2:$C$294,C144,$N$2:$N$294,N144,$H$2:$H$294,"Yes",$O$2:$O$294,1)</f>
        <v/>
      </c>
    </row>
    <row r="145">
      <c r="A145" t="inlineStr">
        <is>
          <t>SE-00006412</t>
        </is>
      </c>
      <c r="B145" t="inlineStr">
        <is>
          <t>Noahs Ark Learning Academy Eastlakes</t>
        </is>
      </c>
      <c r="C145" t="inlineStr">
        <is>
          <t>KYRMENANN PTY LTD</t>
        </is>
      </c>
      <c r="D145" t="inlineStr">
        <is>
          <t>EASTLAKES</t>
        </is>
      </c>
      <c r="E145" t="inlineStr">
        <is>
          <t>2018</t>
        </is>
      </c>
      <c r="F145" t="n">
        <v>39</v>
      </c>
      <c r="G145" t="inlineStr">
        <is>
          <t>Meeting NQS</t>
        </is>
      </c>
      <c r="H145" t="inlineStr">
        <is>
          <t>Yes</t>
        </is>
      </c>
      <c r="I145" t="inlineStr">
        <is>
          <t>No</t>
        </is>
      </c>
      <c r="J145" t="inlineStr">
        <is>
          <t>No</t>
        </is>
      </c>
      <c r="K145" s="9" t="n">
        <v>39628</v>
      </c>
      <c r="L145" s="10" t="n">
        <v>0.2916666666666667</v>
      </c>
      <c r="M145" s="10" t="n">
        <v>0.75</v>
      </c>
      <c r="N145">
        <f>IFERROR(VLOOKUP(UPPER(D145),Suburb_LGA_Map!$A:$B,2,FALSE),"")</f>
        <v/>
      </c>
      <c r="O145" s="3" t="n">
        <v>1</v>
      </c>
      <c r="P145">
        <f>IF(K145="",0,IF(K145&gt;=DATE(2021,1,1),1,0))</f>
        <v/>
      </c>
      <c r="Q145">
        <f>IF(L145="",0,IF(L145&lt;TIME(7,0,0),1,0))</f>
        <v/>
      </c>
      <c r="R145">
        <f>IF(M145="",0,IF(M145&gt;TIME(18,0,0),1,0))</f>
        <v/>
      </c>
      <c r="S145">
        <f>IF(AND(H145="Yes",O145=1,COUNTIFS($C$2:C145,C145,$N$2:N145,N145,$H$2:H145,"Yes",$O$2:O145,1)=1),1,0)</f>
        <v/>
      </c>
      <c r="T145">
        <f>SUMIFS($F$2:$F$294,$C$2:$C$294,C145,$N$2:$N$294,N145,$H$2:$H$294,"Yes",$O$2:$O$294,1)</f>
        <v/>
      </c>
    </row>
    <row r="146">
      <c r="A146" t="inlineStr">
        <is>
          <t>SE-40017923</t>
        </is>
      </c>
      <c r="B146" t="inlineStr">
        <is>
          <t>Kids Academy Killara</t>
        </is>
      </c>
      <c r="C146" t="inlineStr">
        <is>
          <t>Affinity Education Group Pty Limited</t>
        </is>
      </c>
      <c r="D146" t="inlineStr">
        <is>
          <t>KILLARA</t>
        </is>
      </c>
      <c r="E146" t="inlineStr">
        <is>
          <t>2071</t>
        </is>
      </c>
      <c r="F146" t="n">
        <v>49</v>
      </c>
      <c r="G146" t="inlineStr">
        <is>
          <t>Exceeding NQS</t>
        </is>
      </c>
      <c r="H146" t="inlineStr">
        <is>
          <t>Yes</t>
        </is>
      </c>
      <c r="I146" t="inlineStr">
        <is>
          <t>No</t>
        </is>
      </c>
      <c r="J146" t="inlineStr">
        <is>
          <t>No</t>
        </is>
      </c>
      <c r="K146" s="9" t="n">
        <v>44070</v>
      </c>
      <c r="L146" s="10" t="n">
        <v>0.2916666666666667</v>
      </c>
      <c r="M146" s="10" t="n">
        <v>0.7708333333333334</v>
      </c>
      <c r="N146">
        <f>IFERROR(VLOOKUP(UPPER(D146),Suburb_LGA_Map!$A:$B,2,FALSE),"")</f>
        <v/>
      </c>
      <c r="O146" s="3" t="n">
        <v>1</v>
      </c>
      <c r="P146">
        <f>IF(K146="",0,IF(K146&gt;=DATE(2021,1,1),1,0))</f>
        <v/>
      </c>
      <c r="Q146">
        <f>IF(L146="",0,IF(L146&lt;TIME(7,0,0),1,0))</f>
        <v/>
      </c>
      <c r="R146">
        <f>IF(M146="",0,IF(M146&gt;TIME(18,0,0),1,0))</f>
        <v/>
      </c>
      <c r="S146">
        <f>IF(AND(H146="Yes",O146=1,COUNTIFS($C$2:C146,C146,$N$2:N146,N146,$H$2:H146,"Yes",$O$2:O146,1)=1),1,0)</f>
        <v/>
      </c>
      <c r="T146">
        <f>SUMIFS($F$2:$F$294,$C$2:$C$294,C146,$N$2:$N$294,N146,$H$2:$H$294,"Yes",$O$2:$O$294,1)</f>
        <v/>
      </c>
    </row>
    <row r="147">
      <c r="A147" t="inlineStr">
        <is>
          <t>SE-00009562</t>
        </is>
      </c>
      <c r="B147" t="inlineStr">
        <is>
          <t>Willow Cottage Early Learning Centre</t>
        </is>
      </c>
      <c r="C147" t="inlineStr">
        <is>
          <t>Willow Cottage Early Learning Centre Pty Ltd</t>
        </is>
      </c>
      <c r="D147" t="inlineStr">
        <is>
          <t>NORTH SYDNEY</t>
        </is>
      </c>
      <c r="E147" t="inlineStr">
        <is>
          <t>2060</t>
        </is>
      </c>
      <c r="F147" t="n">
        <v>55</v>
      </c>
      <c r="G147" t="inlineStr">
        <is>
          <t>Meeting NQS</t>
        </is>
      </c>
      <c r="H147" t="inlineStr">
        <is>
          <t>Yes</t>
        </is>
      </c>
      <c r="I147" t="inlineStr">
        <is>
          <t>No</t>
        </is>
      </c>
      <c r="J147" t="inlineStr">
        <is>
          <t>No</t>
        </is>
      </c>
      <c r="K147" s="9" t="n">
        <v>40259</v>
      </c>
      <c r="L147" s="10" t="n">
        <v>0.3333333333333333</v>
      </c>
      <c r="M147" s="10" t="n">
        <v>0.75</v>
      </c>
      <c r="N147">
        <f>IFERROR(VLOOKUP(UPPER(D147),Suburb_LGA_Map!$A:$B,2,FALSE),"")</f>
        <v/>
      </c>
      <c r="O147" s="3" t="n">
        <v>1</v>
      </c>
      <c r="P147">
        <f>IF(K147="",0,IF(K147&gt;=DATE(2021,1,1),1,0))</f>
        <v/>
      </c>
      <c r="Q147">
        <f>IF(L147="",0,IF(L147&lt;TIME(7,0,0),1,0))</f>
        <v/>
      </c>
      <c r="R147">
        <f>IF(M147="",0,IF(M147&gt;TIME(18,0,0),1,0))</f>
        <v/>
      </c>
      <c r="S147">
        <f>IF(AND(H147="Yes",O147=1,COUNTIFS($C$2:C147,C147,$N$2:N147,N147,$H$2:H147,"Yes",$O$2:O147,1)=1),1,0)</f>
        <v/>
      </c>
      <c r="T147">
        <f>SUMIFS($F$2:$F$294,$C$2:$C$294,C147,$N$2:$N$294,N147,$H$2:$H$294,"Yes",$O$2:$O$294,1)</f>
        <v/>
      </c>
    </row>
    <row r="148">
      <c r="A148" t="inlineStr">
        <is>
          <t>SE-00009635</t>
        </is>
      </c>
      <c r="B148" t="inlineStr">
        <is>
          <t>Noahs Ark Learning Academy Botany</t>
        </is>
      </c>
      <c r="C148" t="inlineStr">
        <is>
          <t>KYRMENANN PTY LTD</t>
        </is>
      </c>
      <c r="D148" t="inlineStr">
        <is>
          <t>BOTANY</t>
        </is>
      </c>
      <c r="E148" t="inlineStr">
        <is>
          <t>2019</t>
        </is>
      </c>
      <c r="F148" t="n">
        <v>33</v>
      </c>
      <c r="G148" t="inlineStr">
        <is>
          <t>Meeting NQS</t>
        </is>
      </c>
      <c r="H148" t="inlineStr">
        <is>
          <t>Yes</t>
        </is>
      </c>
      <c r="I148" t="inlineStr">
        <is>
          <t>No</t>
        </is>
      </c>
      <c r="J148" t="inlineStr">
        <is>
          <t>No</t>
        </is>
      </c>
      <c r="K148" s="9" t="n">
        <v>39058</v>
      </c>
      <c r="L148" s="10" t="n">
        <v>0.2916666666666667</v>
      </c>
      <c r="M148" s="10" t="n">
        <v>0.7291666666666666</v>
      </c>
      <c r="N148">
        <f>IFERROR(VLOOKUP(UPPER(D148),Suburb_LGA_Map!$A:$B,2,FALSE),"")</f>
        <v/>
      </c>
      <c r="O148" s="3" t="n">
        <v>1</v>
      </c>
      <c r="P148">
        <f>IF(K148="",0,IF(K148&gt;=DATE(2021,1,1),1,0))</f>
        <v/>
      </c>
      <c r="Q148">
        <f>IF(L148="",0,IF(L148&lt;TIME(7,0,0),1,0))</f>
        <v/>
      </c>
      <c r="R148">
        <f>IF(M148="",0,IF(M148&gt;TIME(18,0,0),1,0))</f>
        <v/>
      </c>
      <c r="S148">
        <f>IF(AND(H148="Yes",O148=1,COUNTIFS($C$2:C148,C148,$N$2:N148,N148,$H$2:H148,"Yes",$O$2:O148,1)=1),1,0)</f>
        <v/>
      </c>
      <c r="T148">
        <f>SUMIFS($F$2:$F$294,$C$2:$C$294,C148,$N$2:$N$294,N148,$H$2:$H$294,"Yes",$O$2:$O$294,1)</f>
        <v/>
      </c>
    </row>
    <row r="149">
      <c r="A149" t="inlineStr">
        <is>
          <t>SE-00009636</t>
        </is>
      </c>
      <c r="B149" t="inlineStr">
        <is>
          <t>Edward Street Early Learning Centre</t>
        </is>
      </c>
      <c r="C149" t="inlineStr">
        <is>
          <t>Siobhan Marie Bacon</t>
        </is>
      </c>
      <c r="D149" t="inlineStr">
        <is>
          <t>BOTANY</t>
        </is>
      </c>
      <c r="E149" t="inlineStr">
        <is>
          <t>2019</t>
        </is>
      </c>
      <c r="F149" t="n">
        <v>45</v>
      </c>
      <c r="G149" t="inlineStr">
        <is>
          <t>Meeting NQS</t>
        </is>
      </c>
      <c r="H149" t="inlineStr">
        <is>
          <t>Yes</t>
        </is>
      </c>
      <c r="I149" t="inlineStr">
        <is>
          <t>No</t>
        </is>
      </c>
      <c r="J149" t="inlineStr">
        <is>
          <t>No</t>
        </is>
      </c>
      <c r="K149" s="9" t="n">
        <v>39986</v>
      </c>
      <c r="L149" s="10" t="n">
        <v>0.2916666666666667</v>
      </c>
      <c r="M149" s="10" t="n">
        <v>0.7291666666666666</v>
      </c>
      <c r="N149">
        <f>IFERROR(VLOOKUP(UPPER(D149),Suburb_LGA_Map!$A:$B,2,FALSE),"")</f>
        <v/>
      </c>
      <c r="O149" s="3" t="n">
        <v>1</v>
      </c>
      <c r="P149">
        <f>IF(K149="",0,IF(K149&gt;=DATE(2021,1,1),1,0))</f>
        <v/>
      </c>
      <c r="Q149">
        <f>IF(L149="",0,IF(L149&lt;TIME(7,0,0),1,0))</f>
        <v/>
      </c>
      <c r="R149">
        <f>IF(M149="",0,IF(M149&gt;TIME(18,0,0),1,0))</f>
        <v/>
      </c>
      <c r="S149">
        <f>IF(AND(H149="Yes",O149=1,COUNTIFS($C$2:C149,C149,$N$2:N149,N149,$H$2:H149,"Yes",$O$2:O149,1)=1),1,0)</f>
        <v/>
      </c>
      <c r="T149">
        <f>SUMIFS($F$2:$F$294,$C$2:$C$294,C149,$N$2:$N$294,N149,$H$2:$H$294,"Yes",$O$2:$O$294,1)</f>
        <v/>
      </c>
    </row>
    <row r="150">
      <c r="A150" t="inlineStr">
        <is>
          <t>SE-00007377</t>
        </is>
      </c>
      <c r="B150" t="inlineStr">
        <is>
          <t>Gordon Community Preschool</t>
        </is>
      </c>
      <c r="C150" t="inlineStr">
        <is>
          <t>Gordon Community Preschool</t>
        </is>
      </c>
      <c r="D150" t="inlineStr">
        <is>
          <t>GORDON</t>
        </is>
      </c>
      <c r="E150" t="inlineStr">
        <is>
          <t>2072</t>
        </is>
      </c>
      <c r="F150" t="n">
        <v>74</v>
      </c>
      <c r="G150" t="inlineStr">
        <is>
          <t>Exceeding NQS</t>
        </is>
      </c>
      <c r="H150" t="inlineStr">
        <is>
          <t>No</t>
        </is>
      </c>
      <c r="I150" t="inlineStr">
        <is>
          <t>Yes</t>
        </is>
      </c>
      <c r="J150" t="inlineStr">
        <is>
          <t>No</t>
        </is>
      </c>
      <c r="K150" s="9" t="n">
        <v>39805</v>
      </c>
      <c r="L150" s="10" t="n"/>
      <c r="M150" s="10" t="n"/>
      <c r="N150">
        <f>IFERROR(VLOOKUP(UPPER(D150),Suburb_LGA_Map!$A:$B,2,FALSE),"")</f>
        <v/>
      </c>
      <c r="O150" s="3" t="n">
        <v>1</v>
      </c>
      <c r="P150">
        <f>IF(K150="",0,IF(K150&gt;=DATE(2021,1,1),1,0))</f>
        <v/>
      </c>
      <c r="Q150">
        <f>IF(L150="",0,IF(L150&lt;TIME(7,0,0),1,0))</f>
        <v/>
      </c>
      <c r="R150">
        <f>IF(M150="",0,IF(M150&gt;TIME(18,0,0),1,0))</f>
        <v/>
      </c>
      <c r="S150">
        <f>IF(AND(H150="Yes",O150=1,COUNTIFS($C$2:C150,C150,$N$2:N150,N150,$H$2:H150,"Yes",$O$2:O150,1)=1),1,0)</f>
        <v/>
      </c>
      <c r="T150">
        <f>SUMIFS($F$2:$F$294,$C$2:$C$294,C150,$N$2:$N$294,N150,$H$2:$H$294,"Yes",$O$2:$O$294,1)</f>
        <v/>
      </c>
    </row>
    <row r="151">
      <c r="A151" t="inlineStr">
        <is>
          <t>SE-00007400</t>
        </is>
      </c>
      <c r="B151" t="inlineStr">
        <is>
          <t>Green Gables Kindergarten</t>
        </is>
      </c>
      <c r="C151" t="inlineStr">
        <is>
          <t>Stari Holdings Pty Ltd</t>
        </is>
      </c>
      <c r="D151" t="inlineStr">
        <is>
          <t>SANS SOUCI</t>
        </is>
      </c>
      <c r="E151" t="inlineStr">
        <is>
          <t>2219</t>
        </is>
      </c>
      <c r="F151" t="n">
        <v>60</v>
      </c>
      <c r="G151" t="inlineStr">
        <is>
          <t>Exceeding NQS</t>
        </is>
      </c>
      <c r="H151" t="inlineStr">
        <is>
          <t>Yes</t>
        </is>
      </c>
      <c r="I151" t="inlineStr">
        <is>
          <t>No</t>
        </is>
      </c>
      <c r="J151" t="inlineStr">
        <is>
          <t>No</t>
        </is>
      </c>
      <c r="K151" s="9" t="n">
        <v>39568</v>
      </c>
      <c r="L151" s="10" t="n">
        <v>0.2916666666666667</v>
      </c>
      <c r="M151" s="10" t="n">
        <v>0.75</v>
      </c>
      <c r="N151">
        <f>IFERROR(VLOOKUP(UPPER(D151),Suburb_LGA_Map!$A:$B,2,FALSE),"")</f>
        <v/>
      </c>
      <c r="O151" s="3" t="n">
        <v>1</v>
      </c>
      <c r="P151">
        <f>IF(K151="",0,IF(K151&gt;=DATE(2021,1,1),1,0))</f>
        <v/>
      </c>
      <c r="Q151">
        <f>IF(L151="",0,IF(L151&lt;TIME(7,0,0),1,0))</f>
        <v/>
      </c>
      <c r="R151">
        <f>IF(M151="",0,IF(M151&gt;TIME(18,0,0),1,0))</f>
        <v/>
      </c>
      <c r="S151">
        <f>IF(AND(H151="Yes",O151=1,COUNTIFS($C$2:C151,C151,$N$2:N151,N151,$H$2:H151,"Yes",$O$2:O151,1)=1),1,0)</f>
        <v/>
      </c>
      <c r="T151">
        <f>SUMIFS($F$2:$F$294,$C$2:$C$294,C151,$N$2:$N$294,N151,$H$2:$H$294,"Yes",$O$2:$O$294,1)</f>
        <v/>
      </c>
    </row>
    <row r="152">
      <c r="A152" t="inlineStr">
        <is>
          <t>SE-00007435</t>
        </is>
      </c>
      <c r="B152" t="inlineStr">
        <is>
          <t>CASS Gumnut Early Learning Centre - St Leonards</t>
        </is>
      </c>
      <c r="C152" t="inlineStr">
        <is>
          <t>Cass Care Limited</t>
        </is>
      </c>
      <c r="D152" t="inlineStr">
        <is>
          <t>ST LEONARDS</t>
        </is>
      </c>
      <c r="E152" t="inlineStr">
        <is>
          <t>2065</t>
        </is>
      </c>
      <c r="F152" t="n">
        <v>45</v>
      </c>
      <c r="G152" t="inlineStr">
        <is>
          <t>Meeting NQS</t>
        </is>
      </c>
      <c r="H152" t="inlineStr">
        <is>
          <t>Yes</t>
        </is>
      </c>
      <c r="I152" t="inlineStr">
        <is>
          <t>No</t>
        </is>
      </c>
      <c r="J152" t="inlineStr">
        <is>
          <t>No</t>
        </is>
      </c>
      <c r="K152" s="9" t="n">
        <v>39892</v>
      </c>
      <c r="L152" s="10" t="n">
        <v>0.3125</v>
      </c>
      <c r="M152" s="10" t="n">
        <v>0.75</v>
      </c>
      <c r="N152">
        <f>IFERROR(VLOOKUP(UPPER(D152),Suburb_LGA_Map!$A:$B,2,FALSE),"")</f>
        <v/>
      </c>
      <c r="O152" s="3" t="n">
        <v>1</v>
      </c>
      <c r="P152">
        <f>IF(K152="",0,IF(K152&gt;=DATE(2021,1,1),1,0))</f>
        <v/>
      </c>
      <c r="Q152">
        <f>IF(L152="",0,IF(L152&lt;TIME(7,0,0),1,0))</f>
        <v/>
      </c>
      <c r="R152">
        <f>IF(M152="",0,IF(M152&gt;TIME(18,0,0),1,0))</f>
        <v/>
      </c>
      <c r="S152">
        <f>IF(AND(H152="Yes",O152=1,COUNTIFS($C$2:C152,C152,$N$2:N152,N152,$H$2:H152,"Yes",$O$2:O152,1)=1),1,0)</f>
        <v/>
      </c>
      <c r="T152">
        <f>SUMIFS($F$2:$F$294,$C$2:$C$294,C152,$N$2:$N$294,N152,$H$2:$H$294,"Yes",$O$2:$O$294,1)</f>
        <v/>
      </c>
    </row>
    <row r="153">
      <c r="A153" t="inlineStr">
        <is>
          <t>SE-00007449</t>
        </is>
      </c>
      <c r="B153" t="inlineStr">
        <is>
          <t>Rawson St Kids</t>
        </is>
      </c>
      <c r="C153" t="inlineStr">
        <is>
          <t>R &amp; S METIRA PTY LTD</t>
        </is>
      </c>
      <c r="D153" t="inlineStr">
        <is>
          <t>BEXLEY</t>
        </is>
      </c>
      <c r="E153" t="inlineStr">
        <is>
          <t>2207</t>
        </is>
      </c>
      <c r="F153" t="n">
        <v>29</v>
      </c>
      <c r="G153" t="inlineStr">
        <is>
          <t>Meeting NQS</t>
        </is>
      </c>
      <c r="H153" t="inlineStr">
        <is>
          <t>Yes</t>
        </is>
      </c>
      <c r="I153" t="inlineStr">
        <is>
          <t>No</t>
        </is>
      </c>
      <c r="J153" t="inlineStr">
        <is>
          <t>No</t>
        </is>
      </c>
      <c r="K153" s="9" t="n">
        <v>39960</v>
      </c>
      <c r="L153" s="10" t="n">
        <v>0.3125</v>
      </c>
      <c r="M153" s="10" t="n">
        <v>0.75</v>
      </c>
      <c r="N153">
        <f>IFERROR(VLOOKUP(UPPER(D153),Suburb_LGA_Map!$A:$B,2,FALSE),"")</f>
        <v/>
      </c>
      <c r="O153" s="3" t="n">
        <v>1</v>
      </c>
      <c r="P153">
        <f>IF(K153="",0,IF(K153&gt;=DATE(2021,1,1),1,0))</f>
        <v/>
      </c>
      <c r="Q153">
        <f>IF(L153="",0,IF(L153&lt;TIME(7,0,0),1,0))</f>
        <v/>
      </c>
      <c r="R153">
        <f>IF(M153="",0,IF(M153&gt;TIME(18,0,0),1,0))</f>
        <v/>
      </c>
      <c r="S153">
        <f>IF(AND(H153="Yes",O153=1,COUNTIFS($C$2:C153,C153,$N$2:N153,N153,$H$2:H153,"Yes",$O$2:O153,1)=1),1,0)</f>
        <v/>
      </c>
      <c r="T153">
        <f>SUMIFS($F$2:$F$294,$C$2:$C$294,C153,$N$2:$N$294,N153,$H$2:$H$294,"Yes",$O$2:$O$294,1)</f>
        <v/>
      </c>
    </row>
    <row r="154">
      <c r="A154" t="inlineStr">
        <is>
          <t>SE-00007456</t>
        </is>
      </c>
      <c r="B154" t="inlineStr">
        <is>
          <t>Guthrie Child Care Centre</t>
        </is>
      </c>
      <c r="C154" t="inlineStr">
        <is>
          <t>Royal Society for the Welfare of Mothers &amp; Babies</t>
        </is>
      </c>
      <c r="D154" t="inlineStr">
        <is>
          <t>WOLLSTONECRAFT</t>
        </is>
      </c>
      <c r="E154" t="inlineStr">
        <is>
          <t>2065</t>
        </is>
      </c>
      <c r="F154" t="n">
        <v>42</v>
      </c>
      <c r="G154" t="inlineStr">
        <is>
          <t>Exceeding NQS</t>
        </is>
      </c>
      <c r="H154" t="inlineStr">
        <is>
          <t>Yes</t>
        </is>
      </c>
      <c r="I154" t="inlineStr">
        <is>
          <t>No</t>
        </is>
      </c>
      <c r="J154" t="inlineStr">
        <is>
          <t>No</t>
        </is>
      </c>
      <c r="K154" s="9" t="n">
        <v>39978</v>
      </c>
      <c r="L154" s="10" t="n">
        <v>0.3125</v>
      </c>
      <c r="M154" s="10" t="n">
        <v>0.7291666666666666</v>
      </c>
      <c r="N154">
        <f>IFERROR(VLOOKUP(UPPER(D154),Suburb_LGA_Map!$A:$B,2,FALSE),"")</f>
        <v/>
      </c>
      <c r="O154" s="3" t="n">
        <v>1</v>
      </c>
      <c r="P154">
        <f>IF(K154="",0,IF(K154&gt;=DATE(2021,1,1),1,0))</f>
        <v/>
      </c>
      <c r="Q154">
        <f>IF(L154="",0,IF(L154&lt;TIME(7,0,0),1,0))</f>
        <v/>
      </c>
      <c r="R154">
        <f>IF(M154="",0,IF(M154&gt;TIME(18,0,0),1,0))</f>
        <v/>
      </c>
      <c r="S154">
        <f>IF(AND(H154="Yes",O154=1,COUNTIFS($C$2:C154,C154,$N$2:N154,N154,$H$2:H154,"Yes",$O$2:O154,1)=1),1,0)</f>
        <v/>
      </c>
      <c r="T154">
        <f>SUMIFS($F$2:$F$294,$C$2:$C$294,C154,$N$2:$N$294,N154,$H$2:$H$294,"Yes",$O$2:$O$294,1)</f>
        <v/>
      </c>
    </row>
    <row r="155">
      <c r="A155" t="inlineStr">
        <is>
          <t>SE-40026249</t>
        </is>
      </c>
      <c r="B155" t="inlineStr">
        <is>
          <t>Turramurra Kindergarten Pty Ltd</t>
        </is>
      </c>
      <c r="C155" t="inlineStr">
        <is>
          <t>Erina Kindy Pty Ltd</t>
        </is>
      </c>
      <c r="D155" t="inlineStr">
        <is>
          <t>NORTH TURRAMURRA</t>
        </is>
      </c>
      <c r="E155" t="inlineStr">
        <is>
          <t>2074</t>
        </is>
      </c>
      <c r="F155" t="n">
        <v>50</v>
      </c>
      <c r="G155" t="inlineStr">
        <is>
          <t>Meeting NQS</t>
        </is>
      </c>
      <c r="H155" t="inlineStr">
        <is>
          <t>Yes</t>
        </is>
      </c>
      <c r="I155" t="inlineStr">
        <is>
          <t>No</t>
        </is>
      </c>
      <c r="J155" t="inlineStr">
        <is>
          <t>No</t>
        </is>
      </c>
      <c r="K155" s="9" t="n">
        <v>45107</v>
      </c>
      <c r="L155" s="10" t="n">
        <v>0.2916666666666667</v>
      </c>
      <c r="M155" s="10" t="n">
        <v>0.75</v>
      </c>
      <c r="N155">
        <f>IFERROR(VLOOKUP(UPPER(D155),Suburb_LGA_Map!$A:$B,2,FALSE),"")</f>
        <v/>
      </c>
      <c r="O155" s="3" t="n">
        <v>1</v>
      </c>
      <c r="P155">
        <f>IF(K155="",0,IF(K155&gt;=DATE(2021,1,1),1,0))</f>
        <v/>
      </c>
      <c r="Q155">
        <f>IF(L155="",0,IF(L155&lt;TIME(7,0,0),1,0))</f>
        <v/>
      </c>
      <c r="R155">
        <f>IF(M155="",0,IF(M155&gt;TIME(18,0,0),1,0))</f>
        <v/>
      </c>
      <c r="S155">
        <f>IF(AND(H155="Yes",O155=1,COUNTIFS($C$2:C155,C155,$N$2:N155,N155,$H$2:H155,"Yes",$O$2:O155,1)=1),1,0)</f>
        <v/>
      </c>
      <c r="T155">
        <f>SUMIFS($F$2:$F$294,$C$2:$C$294,C155,$N$2:$N$294,N155,$H$2:$H$294,"Yes",$O$2:$O$294,1)</f>
        <v/>
      </c>
    </row>
    <row r="156">
      <c r="A156" t="inlineStr">
        <is>
          <t>SE-00012180</t>
        </is>
      </c>
      <c r="B156" t="inlineStr">
        <is>
          <t>TeamKids - Botany Public School</t>
        </is>
      </c>
      <c r="C156" t="inlineStr">
        <is>
          <t>TEAM HOLIDAY PTY LTD</t>
        </is>
      </c>
      <c r="D156" t="inlineStr">
        <is>
          <t>BOTANY</t>
        </is>
      </c>
      <c r="E156" t="inlineStr">
        <is>
          <t>2019</t>
        </is>
      </c>
      <c r="F156" t="n">
        <v>80</v>
      </c>
      <c r="G156" t="inlineStr">
        <is>
          <t>Meeting NQS</t>
        </is>
      </c>
      <c r="H156" t="inlineStr">
        <is>
          <t>No</t>
        </is>
      </c>
      <c r="I156" t="inlineStr">
        <is>
          <t>No</t>
        </is>
      </c>
      <c r="J156" t="inlineStr">
        <is>
          <t>Yes</t>
        </is>
      </c>
      <c r="K156" s="9" t="n">
        <v>41474</v>
      </c>
      <c r="L156" s="10" t="n"/>
      <c r="M156" s="10" t="n"/>
      <c r="N156">
        <f>IFERROR(VLOOKUP(UPPER(D156),Suburb_LGA_Map!$A:$B,2,FALSE),"")</f>
        <v/>
      </c>
      <c r="O156" s="3" t="n">
        <v>1</v>
      </c>
      <c r="P156">
        <f>IF(K156="",0,IF(K156&gt;=DATE(2021,1,1),1,0))</f>
        <v/>
      </c>
      <c r="Q156">
        <f>IF(L156="",0,IF(L156&lt;TIME(7,0,0),1,0))</f>
        <v/>
      </c>
      <c r="R156">
        <f>IF(M156="",0,IF(M156&gt;TIME(18,0,0),1,0))</f>
        <v/>
      </c>
      <c r="S156">
        <f>IF(AND(H156="Yes",O156=1,COUNTIFS($C$2:C156,C156,$N$2:N156,N156,$H$2:H156,"Yes",$O$2:O156,1)=1),1,0)</f>
        <v/>
      </c>
      <c r="T156">
        <f>SUMIFS($F$2:$F$294,$C$2:$C$294,C156,$N$2:$N$294,N156,$H$2:$H$294,"Yes",$O$2:$O$294,1)</f>
        <v/>
      </c>
    </row>
    <row r="157">
      <c r="A157" t="inlineStr">
        <is>
          <t>SE-00012181</t>
        </is>
      </c>
      <c r="B157" t="inlineStr">
        <is>
          <t>Star Club Pagewood Public School</t>
        </is>
      </c>
      <c r="C157" t="inlineStr">
        <is>
          <t>Minghui Education Pty Ltd</t>
        </is>
      </c>
      <c r="D157" t="inlineStr">
        <is>
          <t>PAGEWOOD</t>
        </is>
      </c>
      <c r="E157" t="inlineStr">
        <is>
          <t>2035</t>
        </is>
      </c>
      <c r="F157" t="n">
        <v>120</v>
      </c>
      <c r="G157" t="inlineStr">
        <is>
          <t>Meeting NQS</t>
        </is>
      </c>
      <c r="H157" t="inlineStr">
        <is>
          <t>No</t>
        </is>
      </c>
      <c r="I157" t="inlineStr">
        <is>
          <t>No</t>
        </is>
      </c>
      <c r="J157" t="inlineStr">
        <is>
          <t>Yes</t>
        </is>
      </c>
      <c r="K157" s="9" t="n">
        <v>41512</v>
      </c>
      <c r="L157" s="10" t="n"/>
      <c r="M157" s="10" t="n"/>
      <c r="N157">
        <f>IFERROR(VLOOKUP(UPPER(D157),Suburb_LGA_Map!$A:$B,2,FALSE),"")</f>
        <v/>
      </c>
      <c r="O157" s="3" t="n">
        <v>1</v>
      </c>
      <c r="P157">
        <f>IF(K157="",0,IF(K157&gt;=DATE(2021,1,1),1,0))</f>
        <v/>
      </c>
      <c r="Q157">
        <f>IF(L157="",0,IF(L157&lt;TIME(7,0,0),1,0))</f>
        <v/>
      </c>
      <c r="R157">
        <f>IF(M157="",0,IF(M157&gt;TIME(18,0,0),1,0))</f>
        <v/>
      </c>
      <c r="S157">
        <f>IF(AND(H157="Yes",O157=1,COUNTIFS($C$2:C157,C157,$N$2:N157,N157,$H$2:H157,"Yes",$O$2:O157,1)=1),1,0)</f>
        <v/>
      </c>
      <c r="T157">
        <f>SUMIFS($F$2:$F$294,$C$2:$C$294,C157,$N$2:$N$294,N157,$H$2:$H$294,"Yes",$O$2:$O$294,1)</f>
        <v/>
      </c>
    </row>
    <row r="158">
      <c r="A158" t="inlineStr">
        <is>
          <t>SE-00012183</t>
        </is>
      </c>
      <c r="B158" t="inlineStr">
        <is>
          <t>Waitara Before &amp; After School Care Inc</t>
        </is>
      </c>
      <c r="C158" t="inlineStr">
        <is>
          <t>Waitara Before &amp; After School Care Inc.</t>
        </is>
      </c>
      <c r="D158" t="inlineStr">
        <is>
          <t>WAHROONGA</t>
        </is>
      </c>
      <c r="E158" t="inlineStr">
        <is>
          <t>2076</t>
        </is>
      </c>
      <c r="F158" t="n">
        <v>330</v>
      </c>
      <c r="G158" t="inlineStr">
        <is>
          <t>Meeting NQS</t>
        </is>
      </c>
      <c r="H158" t="inlineStr">
        <is>
          <t>No</t>
        </is>
      </c>
      <c r="I158" t="inlineStr">
        <is>
          <t>No</t>
        </is>
      </c>
      <c r="J158" t="inlineStr">
        <is>
          <t>Yes</t>
        </is>
      </c>
      <c r="K158" s="9" t="n">
        <v>41199</v>
      </c>
      <c r="L158" s="10" t="n">
        <v>0.6354166666666666</v>
      </c>
      <c r="M158" s="10" t="n">
        <v>0.7708333333333334</v>
      </c>
      <c r="N158">
        <f>IFERROR(VLOOKUP(UPPER(D158),Suburb_LGA_Map!$A:$B,2,FALSE),"")</f>
        <v/>
      </c>
      <c r="O158" s="3" t="n">
        <v>1</v>
      </c>
      <c r="P158">
        <f>IF(K158="",0,IF(K158&gt;=DATE(2021,1,1),1,0))</f>
        <v/>
      </c>
      <c r="Q158">
        <f>IF(L158="",0,IF(L158&lt;TIME(7,0,0),1,0))</f>
        <v/>
      </c>
      <c r="R158">
        <f>IF(M158="",0,IF(M158&gt;TIME(18,0,0),1,0))</f>
        <v/>
      </c>
      <c r="S158">
        <f>IF(AND(H158="Yes",O158=1,COUNTIFS($C$2:C158,C158,$N$2:N158,N158,$H$2:H158,"Yes",$O$2:O158,1)=1),1,0)</f>
        <v/>
      </c>
      <c r="T158">
        <f>SUMIFS($F$2:$F$294,$C$2:$C$294,C158,$N$2:$N$294,N158,$H$2:$H$294,"Yes",$O$2:$O$294,1)</f>
        <v/>
      </c>
    </row>
    <row r="159">
      <c r="A159" t="inlineStr">
        <is>
          <t>SE-00012220</t>
        </is>
      </c>
      <c r="B159" t="inlineStr">
        <is>
          <t>Lindfield East Before and After School Care</t>
        </is>
      </c>
      <c r="C159" t="inlineStr">
        <is>
          <t>Lindfield East Before and After School Care Incorporated</t>
        </is>
      </c>
      <c r="D159" t="inlineStr">
        <is>
          <t>LINDFIELD</t>
        </is>
      </c>
      <c r="E159" t="inlineStr">
        <is>
          <t>2070</t>
        </is>
      </c>
      <c r="F159" t="n">
        <v>85</v>
      </c>
      <c r="G159" t="inlineStr">
        <is>
          <t>Meeting NQS</t>
        </is>
      </c>
      <c r="H159" t="inlineStr">
        <is>
          <t>No</t>
        </is>
      </c>
      <c r="I159" t="inlineStr">
        <is>
          <t>No</t>
        </is>
      </c>
      <c r="J159" t="inlineStr">
        <is>
          <t>Yes</t>
        </is>
      </c>
      <c r="K159" s="9" t="n">
        <v>41611</v>
      </c>
      <c r="L159" s="10" t="n"/>
      <c r="M159" s="10" t="n"/>
      <c r="N159">
        <f>IFERROR(VLOOKUP(UPPER(D159),Suburb_LGA_Map!$A:$B,2,FALSE),"")</f>
        <v/>
      </c>
      <c r="O159" s="3" t="n">
        <v>1</v>
      </c>
      <c r="P159">
        <f>IF(K159="",0,IF(K159&gt;=DATE(2021,1,1),1,0))</f>
        <v/>
      </c>
      <c r="Q159">
        <f>IF(L159="",0,IF(L159&lt;TIME(7,0,0),1,0))</f>
        <v/>
      </c>
      <c r="R159">
        <f>IF(M159="",0,IF(M159&gt;TIME(18,0,0),1,0))</f>
        <v/>
      </c>
      <c r="S159">
        <f>IF(AND(H159="Yes",O159=1,COUNTIFS($C$2:C159,C159,$N$2:N159,N159,$H$2:H159,"Yes",$O$2:O159,1)=1),1,0)</f>
        <v/>
      </c>
      <c r="T159">
        <f>SUMIFS($F$2:$F$294,$C$2:$C$294,C159,$N$2:$N$294,N159,$H$2:$H$294,"Yes",$O$2:$O$294,1)</f>
        <v/>
      </c>
    </row>
    <row r="160">
      <c r="A160" t="inlineStr">
        <is>
          <t>SE-00012232</t>
        </is>
      </c>
      <c r="B160" t="inlineStr">
        <is>
          <t>Gardeners Road OSHCLUB</t>
        </is>
      </c>
      <c r="C160" t="inlineStr">
        <is>
          <t>OSHCLUB PTY LTD</t>
        </is>
      </c>
      <c r="D160" t="inlineStr">
        <is>
          <t>ROSEBERY</t>
        </is>
      </c>
      <c r="E160" t="inlineStr">
        <is>
          <t>2018</t>
        </is>
      </c>
      <c r="F160" t="n">
        <v>119</v>
      </c>
      <c r="G160" t="inlineStr">
        <is>
          <t>Meeting NQS</t>
        </is>
      </c>
      <c r="H160" t="inlineStr">
        <is>
          <t>No</t>
        </is>
      </c>
      <c r="I160" t="inlineStr">
        <is>
          <t>No</t>
        </is>
      </c>
      <c r="J160" t="inlineStr">
        <is>
          <t>Yes</t>
        </is>
      </c>
      <c r="K160" s="9" t="n">
        <v>41408</v>
      </c>
      <c r="L160" s="10" t="n"/>
      <c r="M160" s="10" t="n"/>
      <c r="N160">
        <f>IFERROR(VLOOKUP(UPPER(D160),Suburb_LGA_Map!$A:$B,2,FALSE),"")</f>
        <v/>
      </c>
      <c r="O160" s="3" t="n">
        <v>1</v>
      </c>
      <c r="P160">
        <f>IF(K160="",0,IF(K160&gt;=DATE(2021,1,1),1,0))</f>
        <v/>
      </c>
      <c r="Q160">
        <f>IF(L160="",0,IF(L160&lt;TIME(7,0,0),1,0))</f>
        <v/>
      </c>
      <c r="R160">
        <f>IF(M160="",0,IF(M160&gt;TIME(18,0,0),1,0))</f>
        <v/>
      </c>
      <c r="S160">
        <f>IF(AND(H160="Yes",O160=1,COUNTIFS($C$2:C160,C160,$N$2:N160,N160,$H$2:H160,"Yes",$O$2:O160,1)=1),1,0)</f>
        <v/>
      </c>
      <c r="T160">
        <f>SUMIFS($F$2:$F$294,$C$2:$C$294,C160,$N$2:$N$294,N160,$H$2:$H$294,"Yes",$O$2:$O$294,1)</f>
        <v/>
      </c>
    </row>
    <row r="161">
      <c r="A161" t="inlineStr">
        <is>
          <t>SE-00012242</t>
        </is>
      </c>
      <c r="B161" t="inlineStr">
        <is>
          <t>Knox Grammar OSHClub</t>
        </is>
      </c>
      <c r="C161" t="inlineStr">
        <is>
          <t>OSHCLUB PTY LTD</t>
        </is>
      </c>
      <c r="D161" t="inlineStr">
        <is>
          <t>WAHROONGA</t>
        </is>
      </c>
      <c r="E161" t="inlineStr">
        <is>
          <t>2076</t>
        </is>
      </c>
      <c r="F161" t="n">
        <v>90</v>
      </c>
      <c r="G161" t="inlineStr">
        <is>
          <t>Meeting NQS</t>
        </is>
      </c>
      <c r="H161" t="inlineStr">
        <is>
          <t>No</t>
        </is>
      </c>
      <c r="I161" t="inlineStr">
        <is>
          <t>No</t>
        </is>
      </c>
      <c r="J161" t="inlineStr">
        <is>
          <t>Yes</t>
        </is>
      </c>
      <c r="K161" s="9" t="n">
        <v>41423</v>
      </c>
      <c r="L161" s="10" t="n"/>
      <c r="M161" s="10" t="n"/>
      <c r="N161">
        <f>IFERROR(VLOOKUP(UPPER(D161),Suburb_LGA_Map!$A:$B,2,FALSE),"")</f>
        <v/>
      </c>
      <c r="O161" s="3" t="n">
        <v>1</v>
      </c>
      <c r="P161">
        <f>IF(K161="",0,IF(K161&gt;=DATE(2021,1,1),1,0))</f>
        <v/>
      </c>
      <c r="Q161">
        <f>IF(L161="",0,IF(L161&lt;TIME(7,0,0),1,0))</f>
        <v/>
      </c>
      <c r="R161">
        <f>IF(M161="",0,IF(M161&gt;TIME(18,0,0),1,0))</f>
        <v/>
      </c>
      <c r="S161">
        <f>IF(AND(H161="Yes",O161=1,COUNTIFS($C$2:C161,C161,$N$2:N161,N161,$H$2:H161,"Yes",$O$2:O161,1)=1),1,0)</f>
        <v/>
      </c>
      <c r="T161">
        <f>SUMIFS($F$2:$F$294,$C$2:$C$294,C161,$N$2:$N$294,N161,$H$2:$H$294,"Yes",$O$2:$O$294,1)</f>
        <v/>
      </c>
    </row>
    <row r="162">
      <c r="A162" t="inlineStr">
        <is>
          <t>SE-40007487</t>
        </is>
      </c>
      <c r="B162" t="inlineStr">
        <is>
          <t>Good Hands</t>
        </is>
      </c>
      <c r="C162" t="inlineStr">
        <is>
          <t>Good Hands NSW Pty Ltd</t>
        </is>
      </c>
      <c r="D162" t="inlineStr">
        <is>
          <t>SOUTH TURRAMURRA</t>
        </is>
      </c>
      <c r="E162" t="inlineStr">
        <is>
          <t>2074</t>
        </is>
      </c>
      <c r="F162" t="n">
        <v>25</v>
      </c>
      <c r="G162" t="inlineStr">
        <is>
          <t>Meeting NQS</t>
        </is>
      </c>
      <c r="H162" t="inlineStr">
        <is>
          <t>Yes</t>
        </is>
      </c>
      <c r="I162" t="inlineStr">
        <is>
          <t>No</t>
        </is>
      </c>
      <c r="J162" t="inlineStr">
        <is>
          <t>No</t>
        </is>
      </c>
      <c r="K162" s="9" t="n">
        <v>42982</v>
      </c>
      <c r="L162" s="10" t="n">
        <v>0.2916666666666667</v>
      </c>
      <c r="M162" s="10" t="n">
        <v>0.75</v>
      </c>
      <c r="N162">
        <f>IFERROR(VLOOKUP(UPPER(D162),Suburb_LGA_Map!$A:$B,2,FALSE),"")</f>
        <v/>
      </c>
      <c r="O162" s="3" t="n">
        <v>1</v>
      </c>
      <c r="P162">
        <f>IF(K162="",0,IF(K162&gt;=DATE(2021,1,1),1,0))</f>
        <v/>
      </c>
      <c r="Q162">
        <f>IF(L162="",0,IF(L162&lt;TIME(7,0,0),1,0))</f>
        <v/>
      </c>
      <c r="R162">
        <f>IF(M162="",0,IF(M162&gt;TIME(18,0,0),1,0))</f>
        <v/>
      </c>
      <c r="S162">
        <f>IF(AND(H162="Yes",O162=1,COUNTIFS($C$2:C162,C162,$N$2:N162,N162,$H$2:H162,"Yes",$O$2:O162,1)=1),1,0)</f>
        <v/>
      </c>
      <c r="T162">
        <f>SUMIFS($F$2:$F$294,$C$2:$C$294,C162,$N$2:$N$294,N162,$H$2:$H$294,"Yes",$O$2:$O$294,1)</f>
        <v/>
      </c>
    </row>
    <row r="163">
      <c r="A163" t="inlineStr">
        <is>
          <t>SE-40023424</t>
        </is>
      </c>
      <c r="B163" t="inlineStr">
        <is>
          <t>SCECS OSHC St Thomas More's Brighton-Le-Sands</t>
        </is>
      </c>
      <c r="C163" t="inlineStr">
        <is>
          <t>SYDNEY CATHOLIC EARLY CHILDHOOD SERVICES LTD</t>
        </is>
      </c>
      <c r="D163" t="inlineStr">
        <is>
          <t>BRIGHTON-LE-SANDS</t>
        </is>
      </c>
      <c r="E163" t="inlineStr">
        <is>
          <t>2216</t>
        </is>
      </c>
      <c r="F163" t="n">
        <v>60</v>
      </c>
      <c r="G163" t="inlineStr">
        <is>
          <t>Meeting NQS</t>
        </is>
      </c>
      <c r="H163" t="inlineStr">
        <is>
          <t>No</t>
        </is>
      </c>
      <c r="I163" t="inlineStr">
        <is>
          <t>No</t>
        </is>
      </c>
      <c r="J163" t="inlineStr">
        <is>
          <t>Yes</t>
        </is>
      </c>
      <c r="K163" s="9" t="n">
        <v>44685</v>
      </c>
      <c r="L163" s="10" t="n"/>
      <c r="M163" s="10" t="n"/>
      <c r="N163">
        <f>IFERROR(VLOOKUP(UPPER(D163),Suburb_LGA_Map!$A:$B,2,FALSE),"")</f>
        <v/>
      </c>
      <c r="O163" s="3" t="n">
        <v>1</v>
      </c>
      <c r="P163">
        <f>IF(K163="",0,IF(K163&gt;=DATE(2021,1,1),1,0))</f>
        <v/>
      </c>
      <c r="Q163">
        <f>IF(L163="",0,IF(L163&lt;TIME(7,0,0),1,0))</f>
        <v/>
      </c>
      <c r="R163">
        <f>IF(M163="",0,IF(M163&gt;TIME(18,0,0),1,0))</f>
        <v/>
      </c>
      <c r="S163">
        <f>IF(AND(H163="Yes",O163=1,COUNTIFS($C$2:C163,C163,$N$2:N163,N163,$H$2:H163,"Yes",$O$2:O163,1)=1),1,0)</f>
        <v/>
      </c>
      <c r="T163">
        <f>SUMIFS($F$2:$F$294,$C$2:$C$294,C163,$N$2:$N$294,N163,$H$2:$H$294,"Yes",$O$2:$O$294,1)</f>
        <v/>
      </c>
    </row>
    <row r="164">
      <c r="A164" t="inlineStr">
        <is>
          <t>SE-00011273</t>
        </is>
      </c>
      <c r="B164" t="inlineStr">
        <is>
          <t>The Earlier The Better Early Education</t>
        </is>
      </c>
      <c r="C164" t="inlineStr">
        <is>
          <t>IMAGINE NEXT PTY LTD.</t>
        </is>
      </c>
      <c r="D164" t="inlineStr">
        <is>
          <t>ARNCLIFFE</t>
        </is>
      </c>
      <c r="E164" t="inlineStr">
        <is>
          <t>2205</t>
        </is>
      </c>
      <c r="F164" t="n">
        <v>41</v>
      </c>
      <c r="G164" t="inlineStr">
        <is>
          <t>Meeting NQS</t>
        </is>
      </c>
      <c r="H164" t="inlineStr">
        <is>
          <t>Yes</t>
        </is>
      </c>
      <c r="I164" t="inlineStr">
        <is>
          <t>No</t>
        </is>
      </c>
      <c r="J164" t="inlineStr">
        <is>
          <t>No</t>
        </is>
      </c>
      <c r="K164" s="9" t="n">
        <v>40920</v>
      </c>
      <c r="L164" s="10" t="n">
        <v>0.3125</v>
      </c>
      <c r="M164" s="10" t="n">
        <v>0.75</v>
      </c>
      <c r="N164">
        <f>IFERROR(VLOOKUP(UPPER(D164),Suburb_LGA_Map!$A:$B,2,FALSE),"")</f>
        <v/>
      </c>
      <c r="O164" s="3" t="n">
        <v>1</v>
      </c>
      <c r="P164">
        <f>IF(K164="",0,IF(K164&gt;=DATE(2021,1,1),1,0))</f>
        <v/>
      </c>
      <c r="Q164">
        <f>IF(L164="",0,IF(L164&lt;TIME(7,0,0),1,0))</f>
        <v/>
      </c>
      <c r="R164">
        <f>IF(M164="",0,IF(M164&gt;TIME(18,0,0),1,0))</f>
        <v/>
      </c>
      <c r="S164">
        <f>IF(AND(H164="Yes",O164=1,COUNTIFS($C$2:C164,C164,$N$2:N164,N164,$H$2:H164,"Yes",$O$2:O164,1)=1),1,0)</f>
        <v/>
      </c>
      <c r="T164">
        <f>SUMIFS($F$2:$F$294,$C$2:$C$294,C164,$N$2:$N$294,N164,$H$2:$H$294,"Yes",$O$2:$O$294,1)</f>
        <v/>
      </c>
    </row>
    <row r="165">
      <c r="A165" t="inlineStr">
        <is>
          <t>SE-40027812</t>
        </is>
      </c>
      <c r="B165" t="inlineStr">
        <is>
          <t>SCECS OSHC St Joseph's Rosebery</t>
        </is>
      </c>
      <c r="C165" t="inlineStr">
        <is>
          <t>SYDNEY CATHOLIC EARLY CHILDHOOD SERVICES LTD</t>
        </is>
      </c>
      <c r="D165" t="inlineStr">
        <is>
          <t>ROSEBERY</t>
        </is>
      </c>
      <c r="E165" t="inlineStr">
        <is>
          <t>2018</t>
        </is>
      </c>
      <c r="F165" t="n">
        <v>90</v>
      </c>
      <c r="G165" t="inlineStr">
        <is>
          <t>Meeting NQS</t>
        </is>
      </c>
      <c r="H165" t="inlineStr">
        <is>
          <t>No</t>
        </is>
      </c>
      <c r="I165" t="inlineStr">
        <is>
          <t>No</t>
        </is>
      </c>
      <c r="J165" t="inlineStr">
        <is>
          <t>Yes</t>
        </is>
      </c>
      <c r="K165" s="9" t="n">
        <v>45408</v>
      </c>
      <c r="L165" s="10" t="n"/>
      <c r="M165" s="10" t="n"/>
      <c r="N165">
        <f>IFERROR(VLOOKUP(UPPER(D165),Suburb_LGA_Map!$A:$B,2,FALSE),"")</f>
        <v/>
      </c>
      <c r="O165" s="3" t="n">
        <v>1</v>
      </c>
      <c r="P165">
        <f>IF(K165="",0,IF(K165&gt;=DATE(2021,1,1),1,0))</f>
        <v/>
      </c>
      <c r="Q165">
        <f>IF(L165="",0,IF(L165&lt;TIME(7,0,0),1,0))</f>
        <v/>
      </c>
      <c r="R165">
        <f>IF(M165="",0,IF(M165&gt;TIME(18,0,0),1,0))</f>
        <v/>
      </c>
      <c r="S165">
        <f>IF(AND(H165="Yes",O165=1,COUNTIFS($C$2:C165,C165,$N$2:N165,N165,$H$2:H165,"Yes",$O$2:O165,1)=1),1,0)</f>
        <v/>
      </c>
      <c r="T165">
        <f>SUMIFS($F$2:$F$294,$C$2:$C$294,C165,$N$2:$N$294,N165,$H$2:$H$294,"Yes",$O$2:$O$294,1)</f>
        <v/>
      </c>
    </row>
    <row r="166">
      <c r="A166" t="inlineStr">
        <is>
          <t>SE-40015254</t>
        </is>
      </c>
      <c r="B166" t="inlineStr">
        <is>
          <t>Lindfield Learning Village TheirCare</t>
        </is>
      </c>
      <c r="C166" t="inlineStr">
        <is>
          <t>TheirCare Pty Ltd</t>
        </is>
      </c>
      <c r="D166" t="inlineStr">
        <is>
          <t>LINDFIELD</t>
        </is>
      </c>
      <c r="E166" t="inlineStr">
        <is>
          <t>2070</t>
        </is>
      </c>
      <c r="F166" t="n">
        <v>80</v>
      </c>
      <c r="G166" t="inlineStr">
        <is>
          <t>Meeting NQS</t>
        </is>
      </c>
      <c r="H166" t="inlineStr">
        <is>
          <t>No</t>
        </is>
      </c>
      <c r="I166" t="inlineStr">
        <is>
          <t>No</t>
        </is>
      </c>
      <c r="J166" t="inlineStr">
        <is>
          <t>Yes</t>
        </is>
      </c>
      <c r="K166" s="9" t="n">
        <v>43497</v>
      </c>
      <c r="L166" s="10" t="n"/>
      <c r="M166" s="10" t="n"/>
      <c r="N166">
        <f>IFERROR(VLOOKUP(UPPER(D166),Suburb_LGA_Map!$A:$B,2,FALSE),"")</f>
        <v/>
      </c>
      <c r="O166" s="3" t="n">
        <v>1</v>
      </c>
      <c r="P166">
        <f>IF(K166="",0,IF(K166&gt;=DATE(2021,1,1),1,0))</f>
        <v/>
      </c>
      <c r="Q166">
        <f>IF(L166="",0,IF(L166&lt;TIME(7,0,0),1,0))</f>
        <v/>
      </c>
      <c r="R166">
        <f>IF(M166="",0,IF(M166&gt;TIME(18,0,0),1,0))</f>
        <v/>
      </c>
      <c r="S166">
        <f>IF(AND(H166="Yes",O166=1,COUNTIFS($C$2:C166,C166,$N$2:N166,N166,$H$2:H166,"Yes",$O$2:O166,1)=1),1,0)</f>
        <v/>
      </c>
      <c r="T166">
        <f>SUMIFS($F$2:$F$294,$C$2:$C$294,C166,$N$2:$N$294,N166,$H$2:$H$294,"Yes",$O$2:$O$294,1)</f>
        <v/>
      </c>
    </row>
    <row r="167">
      <c r="A167" t="inlineStr">
        <is>
          <t>SE-40015607</t>
        </is>
      </c>
      <c r="B167" t="inlineStr">
        <is>
          <t>Turramurra Montessori Academy</t>
        </is>
      </c>
      <c r="C167" t="inlineStr">
        <is>
          <t>TURRAMURRA MONTESSORI ACADEMY PTY LTD</t>
        </is>
      </c>
      <c r="D167" t="inlineStr">
        <is>
          <t>SOUTH TURRAMURRA</t>
        </is>
      </c>
      <c r="E167" t="inlineStr">
        <is>
          <t>2074</t>
        </is>
      </c>
      <c r="F167" t="n">
        <v>52</v>
      </c>
      <c r="G167" t="inlineStr">
        <is>
          <t>Exceeding NQS</t>
        </is>
      </c>
      <c r="H167" t="inlineStr">
        <is>
          <t>Yes</t>
        </is>
      </c>
      <c r="I167" t="inlineStr">
        <is>
          <t>No</t>
        </is>
      </c>
      <c r="J167" t="inlineStr">
        <is>
          <t>No</t>
        </is>
      </c>
      <c r="K167" s="9" t="n">
        <v>43584</v>
      </c>
      <c r="L167" s="10" t="n">
        <v>0.3125</v>
      </c>
      <c r="M167" s="10" t="n">
        <v>0.75</v>
      </c>
      <c r="N167">
        <f>IFERROR(VLOOKUP(UPPER(D167),Suburb_LGA_Map!$A:$B,2,FALSE),"")</f>
        <v/>
      </c>
      <c r="O167" s="3" t="n">
        <v>1</v>
      </c>
      <c r="P167">
        <f>IF(K167="",0,IF(K167&gt;=DATE(2021,1,1),1,0))</f>
        <v/>
      </c>
      <c r="Q167">
        <f>IF(L167="",0,IF(L167&lt;TIME(7,0,0),1,0))</f>
        <v/>
      </c>
      <c r="R167">
        <f>IF(M167="",0,IF(M167&gt;TIME(18,0,0),1,0))</f>
        <v/>
      </c>
      <c r="S167">
        <f>IF(AND(H167="Yes",O167=1,COUNTIFS($C$2:C167,C167,$N$2:N167,N167,$H$2:H167,"Yes",$O$2:O167,1)=1),1,0)</f>
        <v/>
      </c>
      <c r="T167">
        <f>SUMIFS($F$2:$F$294,$C$2:$C$294,C167,$N$2:$N$294,N167,$H$2:$H$294,"Yes",$O$2:$O$294,1)</f>
        <v/>
      </c>
    </row>
    <row r="168">
      <c r="A168" t="inlineStr">
        <is>
          <t>SE-00018110</t>
        </is>
      </c>
      <c r="B168" t="inlineStr">
        <is>
          <t>Elouera Children's Centre</t>
        </is>
      </c>
      <c r="C168" t="inlineStr">
        <is>
          <t>SMAA Childcare Pty Ltd</t>
        </is>
      </c>
      <c r="D168" t="inlineStr">
        <is>
          <t>EASTGARDENS</t>
        </is>
      </c>
      <c r="E168" t="inlineStr">
        <is>
          <t>2036</t>
        </is>
      </c>
      <c r="F168" t="n">
        <v>75</v>
      </c>
      <c r="G168" t="inlineStr"/>
      <c r="H168" t="inlineStr">
        <is>
          <t>Yes</t>
        </is>
      </c>
      <c r="I168" t="inlineStr">
        <is>
          <t>No</t>
        </is>
      </c>
      <c r="J168" t="inlineStr">
        <is>
          <t>No</t>
        </is>
      </c>
      <c r="K168" s="9" t="n">
        <v>46062</v>
      </c>
      <c r="L168" s="10" t="n">
        <v>0.3125</v>
      </c>
      <c r="M168" s="10" t="n">
        <v>0.75</v>
      </c>
      <c r="N168">
        <f>IFERROR(VLOOKUP(UPPER(D168),Suburb_LGA_Map!$A:$B,2,FALSE),"")</f>
        <v/>
      </c>
      <c r="O168" s="3" t="n">
        <v>1</v>
      </c>
      <c r="P168">
        <f>IF(K168="",0,IF(K168&gt;=DATE(2021,1,1),1,0))</f>
        <v/>
      </c>
      <c r="Q168">
        <f>IF(L168="",0,IF(L168&lt;TIME(7,0,0),1,0))</f>
        <v/>
      </c>
      <c r="R168">
        <f>IF(M168="",0,IF(M168&gt;TIME(18,0,0),1,0))</f>
        <v/>
      </c>
      <c r="S168">
        <f>IF(AND(H168="Yes",O168=1,COUNTIFS($C$2:C168,C168,$N$2:N168,N168,$H$2:H168,"Yes",$O$2:O168,1)=1),1,0)</f>
        <v/>
      </c>
      <c r="T168">
        <f>SUMIFS($F$2:$F$294,$C$2:$C$294,C168,$N$2:$N$294,N168,$H$2:$H$294,"Yes",$O$2:$O$294,1)</f>
        <v/>
      </c>
    </row>
    <row r="169">
      <c r="A169" t="inlineStr">
        <is>
          <t>SE-00008919</t>
        </is>
      </c>
      <c r="B169" t="inlineStr">
        <is>
          <t>Sans Souci Community Preschool</t>
        </is>
      </c>
      <c r="C169" t="inlineStr">
        <is>
          <t>Sans Souci Community Pre School Assoc Inc</t>
        </is>
      </c>
      <c r="D169" t="inlineStr">
        <is>
          <t>SANS SOUCI</t>
        </is>
      </c>
      <c r="E169" t="inlineStr">
        <is>
          <t>2219</t>
        </is>
      </c>
      <c r="F169" t="n">
        <v>72</v>
      </c>
      <c r="G169" t="inlineStr">
        <is>
          <t>Exceeding NQS</t>
        </is>
      </c>
      <c r="H169" t="inlineStr">
        <is>
          <t>No</t>
        </is>
      </c>
      <c r="I169" t="inlineStr">
        <is>
          <t>Yes</t>
        </is>
      </c>
      <c r="J169" t="inlineStr">
        <is>
          <t>No</t>
        </is>
      </c>
      <c r="K169" s="9" t="n">
        <v>39340</v>
      </c>
      <c r="L169" s="10" t="n">
        <v>0.3541666666666667</v>
      </c>
      <c r="M169" s="10" t="n">
        <v>0.6666666666666666</v>
      </c>
      <c r="N169">
        <f>IFERROR(VLOOKUP(UPPER(D169),Suburb_LGA_Map!$A:$B,2,FALSE),"")</f>
        <v/>
      </c>
      <c r="O169" s="3" t="n">
        <v>1</v>
      </c>
      <c r="P169">
        <f>IF(K169="",0,IF(K169&gt;=DATE(2021,1,1),1,0))</f>
        <v/>
      </c>
      <c r="Q169">
        <f>IF(L169="",0,IF(L169&lt;TIME(7,0,0),1,0))</f>
        <v/>
      </c>
      <c r="R169">
        <f>IF(M169="",0,IF(M169&gt;TIME(18,0,0),1,0))</f>
        <v/>
      </c>
      <c r="S169">
        <f>IF(AND(H169="Yes",O169=1,COUNTIFS($C$2:C169,C169,$N$2:N169,N169,$H$2:H169,"Yes",$O$2:O169,1)=1),1,0)</f>
        <v/>
      </c>
      <c r="T169">
        <f>SUMIFS($F$2:$F$294,$C$2:$C$294,C169,$N$2:$N$294,N169,$H$2:$H$294,"Yes",$O$2:$O$294,1)</f>
        <v/>
      </c>
    </row>
    <row r="170">
      <c r="A170" t="inlineStr">
        <is>
          <t>SE-00008949</t>
        </is>
      </c>
      <c r="B170" t="inlineStr">
        <is>
          <t>SDN North Sydney Children's Education and Care Centre</t>
        </is>
      </c>
      <c r="C170" t="inlineStr">
        <is>
          <t>SDN Children's Services</t>
        </is>
      </c>
      <c r="D170" t="inlineStr">
        <is>
          <t>CROWS NEST</t>
        </is>
      </c>
      <c r="E170" t="inlineStr">
        <is>
          <t>2065</t>
        </is>
      </c>
      <c r="F170" t="n">
        <v>75</v>
      </c>
      <c r="G170" t="inlineStr">
        <is>
          <t>Exceeding NQS</t>
        </is>
      </c>
      <c r="H170" t="inlineStr">
        <is>
          <t>Yes</t>
        </is>
      </c>
      <c r="I170" t="inlineStr">
        <is>
          <t>No</t>
        </is>
      </c>
      <c r="J170" t="inlineStr">
        <is>
          <t>No</t>
        </is>
      </c>
      <c r="K170" s="9" t="n">
        <v>39252</v>
      </c>
      <c r="L170" s="10" t="n">
        <v>0.3125</v>
      </c>
      <c r="M170" s="10" t="n">
        <v>0.75</v>
      </c>
      <c r="N170">
        <f>IFERROR(VLOOKUP(UPPER(D170),Suburb_LGA_Map!$A:$B,2,FALSE),"")</f>
        <v/>
      </c>
      <c r="O170" s="3" t="n">
        <v>1</v>
      </c>
      <c r="P170">
        <f>IF(K170="",0,IF(K170&gt;=DATE(2021,1,1),1,0))</f>
        <v/>
      </c>
      <c r="Q170">
        <f>IF(L170="",0,IF(L170&lt;TIME(7,0,0),1,0))</f>
        <v/>
      </c>
      <c r="R170">
        <f>IF(M170="",0,IF(M170&gt;TIME(18,0,0),1,0))</f>
        <v/>
      </c>
      <c r="S170">
        <f>IF(AND(H170="Yes",O170=1,COUNTIFS($C$2:C170,C170,$N$2:N170,N170,$H$2:H170,"Yes",$O$2:O170,1)=1),1,0)</f>
        <v/>
      </c>
      <c r="T170">
        <f>SUMIFS($F$2:$F$294,$C$2:$C$294,C170,$N$2:$N$294,N170,$H$2:$H$294,"Yes",$O$2:$O$294,1)</f>
        <v/>
      </c>
    </row>
    <row r="171">
      <c r="A171" t="inlineStr">
        <is>
          <t>SE-00008977</t>
        </is>
      </c>
      <c r="B171" t="inlineStr">
        <is>
          <t>Shellytots Preschool &amp; Long Daycare Centre</t>
        </is>
      </c>
      <c r="C171" t="inlineStr">
        <is>
          <t>Michelle Evelyn Sandler</t>
        </is>
      </c>
      <c r="D171" t="inlineStr">
        <is>
          <t>ST IVES</t>
        </is>
      </c>
      <c r="E171" t="inlineStr">
        <is>
          <t>2075</t>
        </is>
      </c>
      <c r="F171" t="n">
        <v>36</v>
      </c>
      <c r="G171" t="inlineStr">
        <is>
          <t>Meeting NQS</t>
        </is>
      </c>
      <c r="H171" t="inlineStr">
        <is>
          <t>Yes</t>
        </is>
      </c>
      <c r="I171" t="inlineStr">
        <is>
          <t>No</t>
        </is>
      </c>
      <c r="J171" t="inlineStr">
        <is>
          <t>No</t>
        </is>
      </c>
      <c r="K171" s="9" t="n">
        <v>39864</v>
      </c>
      <c r="L171" s="10" t="n">
        <v>0.3125</v>
      </c>
      <c r="M171" s="10" t="n">
        <v>0.75</v>
      </c>
      <c r="N171">
        <f>IFERROR(VLOOKUP(UPPER(D171),Suburb_LGA_Map!$A:$B,2,FALSE),"")</f>
        <v/>
      </c>
      <c r="O171" s="3" t="n">
        <v>1</v>
      </c>
      <c r="P171">
        <f>IF(K171="",0,IF(K171&gt;=DATE(2021,1,1),1,0))</f>
        <v/>
      </c>
      <c r="Q171">
        <f>IF(L171="",0,IF(L171&lt;TIME(7,0,0),1,0))</f>
        <v/>
      </c>
      <c r="R171">
        <f>IF(M171="",0,IF(M171&gt;TIME(18,0,0),1,0))</f>
        <v/>
      </c>
      <c r="S171">
        <f>IF(AND(H171="Yes",O171=1,COUNTIFS($C$2:C171,C171,$N$2:N171,N171,$H$2:H171,"Yes",$O$2:O171,1)=1),1,0)</f>
        <v/>
      </c>
      <c r="T171">
        <f>SUMIFS($F$2:$F$294,$C$2:$C$294,C171,$N$2:$N$294,N171,$H$2:$H$294,"Yes",$O$2:$O$294,1)</f>
        <v/>
      </c>
    </row>
    <row r="172">
      <c r="A172" t="inlineStr">
        <is>
          <t>SE-00008981</t>
        </is>
      </c>
      <c r="B172" t="inlineStr">
        <is>
          <t>Shining Stars Childcare Centre</t>
        </is>
      </c>
      <c r="C172" t="inlineStr">
        <is>
          <t>Shining Stars Childcare Centre Pty Limited</t>
        </is>
      </c>
      <c r="D172" t="inlineStr">
        <is>
          <t>BRIGHTON-LE-SANDS</t>
        </is>
      </c>
      <c r="E172" t="inlineStr">
        <is>
          <t>2216</t>
        </is>
      </c>
      <c r="F172" t="n">
        <v>43</v>
      </c>
      <c r="G172" t="inlineStr">
        <is>
          <t>Exceeding NQS</t>
        </is>
      </c>
      <c r="H172" t="inlineStr">
        <is>
          <t>Yes</t>
        </is>
      </c>
      <c r="I172" t="inlineStr">
        <is>
          <t>No</t>
        </is>
      </c>
      <c r="J172" t="inlineStr">
        <is>
          <t>No</t>
        </is>
      </c>
      <c r="K172" s="9" t="n">
        <v>40189</v>
      </c>
      <c r="L172" s="10" t="n">
        <v>0.3125</v>
      </c>
      <c r="M172" s="10" t="n">
        <v>0.75</v>
      </c>
      <c r="N172">
        <f>IFERROR(VLOOKUP(UPPER(D172),Suburb_LGA_Map!$A:$B,2,FALSE),"")</f>
        <v/>
      </c>
      <c r="O172" s="3" t="n">
        <v>1</v>
      </c>
      <c r="P172">
        <f>IF(K172="",0,IF(K172&gt;=DATE(2021,1,1),1,0))</f>
        <v/>
      </c>
      <c r="Q172">
        <f>IF(L172="",0,IF(L172&lt;TIME(7,0,0),1,0))</f>
        <v/>
      </c>
      <c r="R172">
        <f>IF(M172="",0,IF(M172&gt;TIME(18,0,0),1,0))</f>
        <v/>
      </c>
      <c r="S172">
        <f>IF(AND(H172="Yes",O172=1,COUNTIFS($C$2:C172,C172,$N$2:N172,N172,$H$2:H172,"Yes",$O$2:O172,1)=1),1,0)</f>
        <v/>
      </c>
      <c r="T172">
        <f>SUMIFS($F$2:$F$294,$C$2:$C$294,C172,$N$2:$N$294,N172,$H$2:$H$294,"Yes",$O$2:$O$294,1)</f>
        <v/>
      </c>
    </row>
    <row r="173">
      <c r="A173" t="inlineStr">
        <is>
          <t>SE-00008985</t>
        </is>
      </c>
      <c r="B173" t="inlineStr">
        <is>
          <t>Gowrie NSW Shirley Road Preschool Crows Nest</t>
        </is>
      </c>
      <c r="C173" t="inlineStr">
        <is>
          <t>Gowrie NSW</t>
        </is>
      </c>
      <c r="D173" t="inlineStr">
        <is>
          <t>CROWS NEST</t>
        </is>
      </c>
      <c r="E173" t="inlineStr">
        <is>
          <t>2065</t>
        </is>
      </c>
      <c r="F173" t="n">
        <v>25</v>
      </c>
      <c r="G173" t="inlineStr">
        <is>
          <t>Exceeding NQS</t>
        </is>
      </c>
      <c r="H173" t="inlineStr">
        <is>
          <t>No</t>
        </is>
      </c>
      <c r="I173" t="inlineStr">
        <is>
          <t>Yes</t>
        </is>
      </c>
      <c r="J173" t="inlineStr">
        <is>
          <t>No</t>
        </is>
      </c>
      <c r="K173" s="9" t="n">
        <v>39949</v>
      </c>
      <c r="L173" s="10" t="n"/>
      <c r="M173" s="10" t="n"/>
      <c r="N173">
        <f>IFERROR(VLOOKUP(UPPER(D173),Suburb_LGA_Map!$A:$B,2,FALSE),"")</f>
        <v/>
      </c>
      <c r="O173" s="3" t="n">
        <v>1</v>
      </c>
      <c r="P173">
        <f>IF(K173="",0,IF(K173&gt;=DATE(2021,1,1),1,0))</f>
        <v/>
      </c>
      <c r="Q173">
        <f>IF(L173="",0,IF(L173&lt;TIME(7,0,0),1,0))</f>
        <v/>
      </c>
      <c r="R173">
        <f>IF(M173="",0,IF(M173&gt;TIME(18,0,0),1,0))</f>
        <v/>
      </c>
      <c r="S173">
        <f>IF(AND(H173="Yes",O173=1,COUNTIFS($C$2:C173,C173,$N$2:N173,N173,$H$2:H173,"Yes",$O$2:O173,1)=1),1,0)</f>
        <v/>
      </c>
      <c r="T173">
        <f>SUMIFS($F$2:$F$294,$C$2:$C$294,C173,$N$2:$N$294,N173,$H$2:$H$294,"Yes",$O$2:$O$294,1)</f>
        <v/>
      </c>
    </row>
    <row r="174">
      <c r="A174" t="inlineStr">
        <is>
          <t>SE-00006785</t>
        </is>
      </c>
      <c r="B174" t="inlineStr">
        <is>
          <t>Bunny Cottage Early Learning Centre</t>
        </is>
      </c>
      <c r="C174" t="inlineStr">
        <is>
          <t>ELUJO PTY LTD.</t>
        </is>
      </c>
      <c r="D174" t="inlineStr">
        <is>
          <t>BEXLEY</t>
        </is>
      </c>
      <c r="E174" t="inlineStr">
        <is>
          <t>2207</t>
        </is>
      </c>
      <c r="F174" t="n">
        <v>29</v>
      </c>
      <c r="G174" t="inlineStr">
        <is>
          <t>Meeting NQS</t>
        </is>
      </c>
      <c r="H174" t="inlineStr">
        <is>
          <t>Yes</t>
        </is>
      </c>
      <c r="I174" t="inlineStr">
        <is>
          <t>No</t>
        </is>
      </c>
      <c r="J174" t="inlineStr">
        <is>
          <t>No</t>
        </is>
      </c>
      <c r="K174" s="9" t="n">
        <v>39584</v>
      </c>
      <c r="L174" s="10" t="n">
        <v>0.3125</v>
      </c>
      <c r="M174" s="10" t="n">
        <v>0.75</v>
      </c>
      <c r="N174">
        <f>IFERROR(VLOOKUP(UPPER(D174),Suburb_LGA_Map!$A:$B,2,FALSE),"")</f>
        <v/>
      </c>
      <c r="O174" s="3" t="n">
        <v>1</v>
      </c>
      <c r="P174">
        <f>IF(K174="",0,IF(K174&gt;=DATE(2021,1,1),1,0))</f>
        <v/>
      </c>
      <c r="Q174">
        <f>IF(L174="",0,IF(L174&lt;TIME(7,0,0),1,0))</f>
        <v/>
      </c>
      <c r="R174">
        <f>IF(M174="",0,IF(M174&gt;TIME(18,0,0),1,0))</f>
        <v/>
      </c>
      <c r="S174">
        <f>IF(AND(H174="Yes",O174=1,COUNTIFS($C$2:C174,C174,$N$2:N174,N174,$H$2:H174,"Yes",$O$2:O174,1)=1),1,0)</f>
        <v/>
      </c>
      <c r="T174">
        <f>SUMIFS($F$2:$F$294,$C$2:$C$294,C174,$N$2:$N$294,N174,$H$2:$H$294,"Yes",$O$2:$O$294,1)</f>
        <v/>
      </c>
    </row>
    <row r="175">
      <c r="A175" t="inlineStr">
        <is>
          <t>SE-00006796</t>
        </is>
      </c>
      <c r="B175" t="inlineStr">
        <is>
          <t>Busy Bee Long Day Childcare Centre</t>
        </is>
      </c>
      <c r="C175" t="inlineStr">
        <is>
          <t>Busy Bee Long Day Child Care Pty Ltd</t>
        </is>
      </c>
      <c r="D175" t="inlineStr">
        <is>
          <t>ARNCLIFFE</t>
        </is>
      </c>
      <c r="E175" t="inlineStr">
        <is>
          <t>2205</t>
        </is>
      </c>
      <c r="F175" t="n">
        <v>31</v>
      </c>
      <c r="G175" t="inlineStr">
        <is>
          <t>Meeting NQS</t>
        </is>
      </c>
      <c r="H175" t="inlineStr">
        <is>
          <t>Yes</t>
        </is>
      </c>
      <c r="I175" t="inlineStr">
        <is>
          <t>No</t>
        </is>
      </c>
      <c r="J175" t="inlineStr">
        <is>
          <t>No</t>
        </is>
      </c>
      <c r="K175" s="9" t="n">
        <v>39895</v>
      </c>
      <c r="L175" s="10" t="n">
        <v>0.3125</v>
      </c>
      <c r="M175" s="10" t="n">
        <v>0.75</v>
      </c>
      <c r="N175">
        <f>IFERROR(VLOOKUP(UPPER(D175),Suburb_LGA_Map!$A:$B,2,FALSE),"")</f>
        <v/>
      </c>
      <c r="O175" s="3" t="n">
        <v>1</v>
      </c>
      <c r="P175">
        <f>IF(K175="",0,IF(K175&gt;=DATE(2021,1,1),1,0))</f>
        <v/>
      </c>
      <c r="Q175">
        <f>IF(L175="",0,IF(L175&lt;TIME(7,0,0),1,0))</f>
        <v/>
      </c>
      <c r="R175">
        <f>IF(M175="",0,IF(M175&gt;TIME(18,0,0),1,0))</f>
        <v/>
      </c>
      <c r="S175">
        <f>IF(AND(H175="Yes",O175=1,COUNTIFS($C$2:C175,C175,$N$2:N175,N175,$H$2:H175,"Yes",$O$2:O175,1)=1),1,0)</f>
        <v/>
      </c>
      <c r="T175">
        <f>SUMIFS($F$2:$F$294,$C$2:$C$294,C175,$N$2:$N$294,N175,$H$2:$H$294,"Yes",$O$2:$O$294,1)</f>
        <v/>
      </c>
    </row>
    <row r="176">
      <c r="A176" t="inlineStr">
        <is>
          <t>SE-00006827</t>
        </is>
      </c>
      <c r="B176" t="inlineStr">
        <is>
          <t>Cameragal Montessori School (Neutral Bay)</t>
        </is>
      </c>
      <c r="C176" t="inlineStr">
        <is>
          <t>Cameragal Montessori School</t>
        </is>
      </c>
      <c r="D176" t="inlineStr">
        <is>
          <t>NEUTRAL BAY</t>
        </is>
      </c>
      <c r="E176" t="inlineStr">
        <is>
          <t>2089</t>
        </is>
      </c>
      <c r="F176" t="n">
        <v>59</v>
      </c>
      <c r="G176" t="inlineStr">
        <is>
          <t>Meeting NQS</t>
        </is>
      </c>
      <c r="H176" t="inlineStr">
        <is>
          <t>No</t>
        </is>
      </c>
      <c r="I176" t="inlineStr">
        <is>
          <t>Yes</t>
        </is>
      </c>
      <c r="J176" t="inlineStr">
        <is>
          <t>Yes</t>
        </is>
      </c>
      <c r="K176" s="9" t="n">
        <v>39188</v>
      </c>
      <c r="L176" s="10" t="n"/>
      <c r="M176" s="10" t="n"/>
      <c r="N176">
        <f>IFERROR(VLOOKUP(UPPER(D176),Suburb_LGA_Map!$A:$B,2,FALSE),"")</f>
        <v/>
      </c>
      <c r="O176" s="3" t="n">
        <v>1</v>
      </c>
      <c r="P176">
        <f>IF(K176="",0,IF(K176&gt;=DATE(2021,1,1),1,0))</f>
        <v/>
      </c>
      <c r="Q176">
        <f>IF(L176="",0,IF(L176&lt;TIME(7,0,0),1,0))</f>
        <v/>
      </c>
      <c r="R176">
        <f>IF(M176="",0,IF(M176&gt;TIME(18,0,0),1,0))</f>
        <v/>
      </c>
      <c r="S176">
        <f>IF(AND(H176="Yes",O176=1,COUNTIFS($C$2:C176,C176,$N$2:N176,N176,$H$2:H176,"Yes",$O$2:O176,1)=1),1,0)</f>
        <v/>
      </c>
      <c r="T176">
        <f>SUMIFS($F$2:$F$294,$C$2:$C$294,C176,$N$2:$N$294,N176,$H$2:$H$294,"Yes",$O$2:$O$294,1)</f>
        <v/>
      </c>
    </row>
    <row r="177">
      <c r="A177" t="inlineStr">
        <is>
          <t>SE-40005109</t>
        </is>
      </c>
      <c r="B177" t="inlineStr">
        <is>
          <t>Little Leo's Early Education Killara</t>
        </is>
      </c>
      <c r="C177" t="inlineStr">
        <is>
          <t>Colossal Talent Pty Ltd ATF Colossal Talent Family Trust</t>
        </is>
      </c>
      <c r="D177" t="inlineStr">
        <is>
          <t>KILLARA</t>
        </is>
      </c>
      <c r="E177" t="inlineStr">
        <is>
          <t>2071</t>
        </is>
      </c>
      <c r="F177" t="n">
        <v>96</v>
      </c>
      <c r="G177" t="inlineStr">
        <is>
          <t>Meeting NQS</t>
        </is>
      </c>
      <c r="H177" t="inlineStr">
        <is>
          <t>Yes</t>
        </is>
      </c>
      <c r="I177" t="inlineStr">
        <is>
          <t>No</t>
        </is>
      </c>
      <c r="J177" t="inlineStr">
        <is>
          <t>No</t>
        </is>
      </c>
      <c r="K177" s="9" t="n">
        <v>42298</v>
      </c>
      <c r="L177" s="10" t="n">
        <v>0.2916666666666667</v>
      </c>
      <c r="M177" s="10" t="n">
        <v>0.75</v>
      </c>
      <c r="N177">
        <f>IFERROR(VLOOKUP(UPPER(D177),Suburb_LGA_Map!$A:$B,2,FALSE),"")</f>
        <v/>
      </c>
      <c r="O177" s="3" t="n">
        <v>1</v>
      </c>
      <c r="P177">
        <f>IF(K177="",0,IF(K177&gt;=DATE(2021,1,1),1,0))</f>
        <v/>
      </c>
      <c r="Q177">
        <f>IF(L177="",0,IF(L177&lt;TIME(7,0,0),1,0))</f>
        <v/>
      </c>
      <c r="R177">
        <f>IF(M177="",0,IF(M177&gt;TIME(18,0,0),1,0))</f>
        <v/>
      </c>
      <c r="S177">
        <f>IF(AND(H177="Yes",O177=1,COUNTIFS($C$2:C177,C177,$N$2:N177,N177,$H$2:H177,"Yes",$O$2:O177,1)=1),1,0)</f>
        <v/>
      </c>
      <c r="T177">
        <f>SUMIFS($F$2:$F$294,$C$2:$C$294,C177,$N$2:$N$294,N177,$H$2:$H$294,"Yes",$O$2:$O$294,1)</f>
        <v/>
      </c>
    </row>
    <row r="178">
      <c r="A178" t="inlineStr">
        <is>
          <t>SE-40005228</t>
        </is>
      </c>
      <c r="B178" t="inlineStr">
        <is>
          <t>Only About Children St Leonards</t>
        </is>
      </c>
      <c r="C178" t="inlineStr">
        <is>
          <t>Only About Children Pty Ltd</t>
        </is>
      </c>
      <c r="D178" t="inlineStr">
        <is>
          <t>ST LEONARDS</t>
        </is>
      </c>
      <c r="E178" t="inlineStr">
        <is>
          <t>2065</t>
        </is>
      </c>
      <c r="F178" t="n">
        <v>92</v>
      </c>
      <c r="G178" t="inlineStr">
        <is>
          <t>Meeting NQS</t>
        </is>
      </c>
      <c r="H178" t="inlineStr">
        <is>
          <t>Yes</t>
        </is>
      </c>
      <c r="I178" t="inlineStr">
        <is>
          <t>No</t>
        </is>
      </c>
      <c r="J178" t="inlineStr">
        <is>
          <t>No</t>
        </is>
      </c>
      <c r="K178" s="9" t="n">
        <v>42356</v>
      </c>
      <c r="L178" s="10" t="n">
        <v>0.2916666666666667</v>
      </c>
      <c r="M178" s="10" t="n">
        <v>0.7708333333333334</v>
      </c>
      <c r="N178">
        <f>IFERROR(VLOOKUP(UPPER(D178),Suburb_LGA_Map!$A:$B,2,FALSE),"")</f>
        <v/>
      </c>
      <c r="O178" s="3" t="n">
        <v>1</v>
      </c>
      <c r="P178">
        <f>IF(K178="",0,IF(K178&gt;=DATE(2021,1,1),1,0))</f>
        <v/>
      </c>
      <c r="Q178">
        <f>IF(L178="",0,IF(L178&lt;TIME(7,0,0),1,0))</f>
        <v/>
      </c>
      <c r="R178">
        <f>IF(M178="",0,IF(M178&gt;TIME(18,0,0),1,0))</f>
        <v/>
      </c>
      <c r="S178">
        <f>IF(AND(H178="Yes",O178=1,COUNTIFS($C$2:C178,C178,$N$2:N178,N178,$H$2:H178,"Yes",$O$2:O178,1)=1),1,0)</f>
        <v/>
      </c>
      <c r="T178">
        <f>SUMIFS($F$2:$F$294,$C$2:$C$294,C178,$N$2:$N$294,N178,$H$2:$H$294,"Yes",$O$2:$O$294,1)</f>
        <v/>
      </c>
    </row>
    <row r="179">
      <c r="A179" t="inlineStr">
        <is>
          <t>SE-40005257</t>
        </is>
      </c>
      <c r="B179" t="inlineStr">
        <is>
          <t>Artarmon Family Day Care</t>
        </is>
      </c>
      <c r="C179" t="inlineStr">
        <is>
          <t>ARTARMON FAMILY DAY CARE PTY. LTD.</t>
        </is>
      </c>
      <c r="D179" t="inlineStr">
        <is>
          <t>CROWS NEST</t>
        </is>
      </c>
      <c r="E179" t="inlineStr">
        <is>
          <t>2065</t>
        </is>
      </c>
      <c r="F179" t="n">
        <v>0</v>
      </c>
      <c r="G179" t="inlineStr">
        <is>
          <t>Meeting NQS</t>
        </is>
      </c>
      <c r="H179" t="inlineStr">
        <is>
          <t>No</t>
        </is>
      </c>
      <c r="I179" t="inlineStr">
        <is>
          <t>No</t>
        </is>
      </c>
      <c r="J179" t="inlineStr">
        <is>
          <t>No</t>
        </is>
      </c>
      <c r="K179" s="9" t="n">
        <v>42355</v>
      </c>
      <c r="L179" s="10" t="n">
        <v>0.375</v>
      </c>
      <c r="M179" s="10" t="n">
        <v>0.7083333333333334</v>
      </c>
      <c r="N179">
        <f>IFERROR(VLOOKUP(UPPER(D179),Suburb_LGA_Map!$A:$B,2,FALSE),"")</f>
        <v/>
      </c>
      <c r="O179" s="3" t="n">
        <v>1</v>
      </c>
      <c r="P179">
        <f>IF(K179="",0,IF(K179&gt;=DATE(2021,1,1),1,0))</f>
        <v/>
      </c>
      <c r="Q179">
        <f>IF(L179="",0,IF(L179&lt;TIME(7,0,0),1,0))</f>
        <v/>
      </c>
      <c r="R179">
        <f>IF(M179="",0,IF(M179&gt;TIME(18,0,0),1,0))</f>
        <v/>
      </c>
      <c r="S179">
        <f>IF(AND(H179="Yes",O179=1,COUNTIFS($C$2:C179,C179,$N$2:N179,N179,$H$2:H179,"Yes",$O$2:O179,1)=1),1,0)</f>
        <v/>
      </c>
      <c r="T179">
        <f>SUMIFS($F$2:$F$294,$C$2:$C$294,C179,$N$2:$N$294,N179,$H$2:$H$294,"Yes",$O$2:$O$294,1)</f>
        <v/>
      </c>
    </row>
    <row r="180">
      <c r="A180" t="inlineStr">
        <is>
          <t>SE-40001252</t>
        </is>
      </c>
      <c r="B180" t="inlineStr">
        <is>
          <t>Only About Children Cremorne</t>
        </is>
      </c>
      <c r="C180" t="inlineStr">
        <is>
          <t>Only About Children Pty Ltd</t>
        </is>
      </c>
      <c r="D180" t="inlineStr">
        <is>
          <t>CREMORNE</t>
        </is>
      </c>
      <c r="E180" t="inlineStr">
        <is>
          <t>2090</t>
        </is>
      </c>
      <c r="F180" t="n">
        <v>129</v>
      </c>
      <c r="G180" t="inlineStr">
        <is>
          <t>Meeting NQS</t>
        </is>
      </c>
      <c r="H180" t="inlineStr">
        <is>
          <t>Yes</t>
        </is>
      </c>
      <c r="I180" t="inlineStr">
        <is>
          <t>No</t>
        </is>
      </c>
      <c r="J180" t="inlineStr">
        <is>
          <t>No</t>
        </is>
      </c>
      <c r="K180" s="9" t="n">
        <v>41632</v>
      </c>
      <c r="L180" s="10" t="n">
        <v>0.2916666666666667</v>
      </c>
      <c r="M180" s="10" t="n">
        <v>0.75</v>
      </c>
      <c r="N180">
        <f>IFERROR(VLOOKUP(UPPER(D180),Suburb_LGA_Map!$A:$B,2,FALSE),"")</f>
        <v/>
      </c>
      <c r="O180" s="3" t="n">
        <v>1</v>
      </c>
      <c r="P180">
        <f>IF(K180="",0,IF(K180&gt;=DATE(2021,1,1),1,0))</f>
        <v/>
      </c>
      <c r="Q180">
        <f>IF(L180="",0,IF(L180&lt;TIME(7,0,0),1,0))</f>
        <v/>
      </c>
      <c r="R180">
        <f>IF(M180="",0,IF(M180&gt;TIME(18,0,0),1,0))</f>
        <v/>
      </c>
      <c r="S180">
        <f>IF(AND(H180="Yes",O180=1,COUNTIFS($C$2:C180,C180,$N$2:N180,N180,$H$2:H180,"Yes",$O$2:O180,1)=1),1,0)</f>
        <v/>
      </c>
      <c r="T180">
        <f>SUMIFS($F$2:$F$294,$C$2:$C$294,C180,$N$2:$N$294,N180,$H$2:$H$294,"Yes",$O$2:$O$294,1)</f>
        <v/>
      </c>
    </row>
    <row r="181">
      <c r="A181" t="inlineStr">
        <is>
          <t>SE-00007828</t>
        </is>
      </c>
      <c r="B181" t="inlineStr">
        <is>
          <t>Kingsgrove World of Learning</t>
        </is>
      </c>
      <c r="C181" t="inlineStr">
        <is>
          <t>G8 Education Limited</t>
        </is>
      </c>
      <c r="D181" t="inlineStr">
        <is>
          <t>KINGSGROVE</t>
        </is>
      </c>
      <c r="E181" t="inlineStr">
        <is>
          <t>2208</t>
        </is>
      </c>
      <c r="F181" t="n">
        <v>35</v>
      </c>
      <c r="G181" t="inlineStr">
        <is>
          <t>Meeting NQS</t>
        </is>
      </c>
      <c r="H181" t="inlineStr">
        <is>
          <t>Yes</t>
        </is>
      </c>
      <c r="I181" t="inlineStr">
        <is>
          <t>No</t>
        </is>
      </c>
      <c r="J181" t="inlineStr">
        <is>
          <t>No</t>
        </is>
      </c>
      <c r="K181" s="9" t="n">
        <v>39661</v>
      </c>
      <c r="L181" s="10" t="n">
        <v>0.2916666666666667</v>
      </c>
      <c r="M181" s="10" t="n">
        <v>0.75</v>
      </c>
      <c r="N181">
        <f>IFERROR(VLOOKUP(UPPER(D181),Suburb_LGA_Map!$A:$B,2,FALSE),"")</f>
        <v/>
      </c>
      <c r="O181" s="3" t="n">
        <v>1</v>
      </c>
      <c r="P181">
        <f>IF(K181="",0,IF(K181&gt;=DATE(2021,1,1),1,0))</f>
        <v/>
      </c>
      <c r="Q181">
        <f>IF(L181="",0,IF(L181&lt;TIME(7,0,0),1,0))</f>
        <v/>
      </c>
      <c r="R181">
        <f>IF(M181="",0,IF(M181&gt;TIME(18,0,0),1,0))</f>
        <v/>
      </c>
      <c r="S181">
        <f>IF(AND(H181="Yes",O181=1,COUNTIFS($C$2:C181,C181,$N$2:N181,N181,$H$2:H181,"Yes",$O$2:O181,1)=1),1,0)</f>
        <v/>
      </c>
      <c r="T181">
        <f>SUMIFS($F$2:$F$294,$C$2:$C$294,C181,$N$2:$N$294,N181,$H$2:$H$294,"Yes",$O$2:$O$294,1)</f>
        <v/>
      </c>
    </row>
    <row r="182">
      <c r="A182" t="inlineStr">
        <is>
          <t>SE-00007841</t>
        </is>
      </c>
      <c r="B182" t="inlineStr">
        <is>
          <t>Handprints Killara</t>
        </is>
      </c>
      <c r="C182" t="inlineStr">
        <is>
          <t>Handprints ELC Pty Ltd</t>
        </is>
      </c>
      <c r="D182" t="inlineStr">
        <is>
          <t>KILLARA</t>
        </is>
      </c>
      <c r="E182" t="inlineStr">
        <is>
          <t>2071</t>
        </is>
      </c>
      <c r="F182" t="n">
        <v>58</v>
      </c>
      <c r="G182" t="inlineStr">
        <is>
          <t>Meeting NQS</t>
        </is>
      </c>
      <c r="H182" t="inlineStr">
        <is>
          <t>Yes</t>
        </is>
      </c>
      <c r="I182" t="inlineStr">
        <is>
          <t>No</t>
        </is>
      </c>
      <c r="J182" t="inlineStr">
        <is>
          <t>No</t>
        </is>
      </c>
      <c r="K182" s="9" t="n">
        <v>39414</v>
      </c>
      <c r="L182" s="10" t="n">
        <v>0.2916666666666667</v>
      </c>
      <c r="M182" s="10" t="n">
        <v>0.75</v>
      </c>
      <c r="N182">
        <f>IFERROR(VLOOKUP(UPPER(D182),Suburb_LGA_Map!$A:$B,2,FALSE),"")</f>
        <v/>
      </c>
      <c r="O182" s="3" t="n">
        <v>1</v>
      </c>
      <c r="P182">
        <f>IF(K182="",0,IF(K182&gt;=DATE(2021,1,1),1,0))</f>
        <v/>
      </c>
      <c r="Q182">
        <f>IF(L182="",0,IF(L182&lt;TIME(7,0,0),1,0))</f>
        <v/>
      </c>
      <c r="R182">
        <f>IF(M182="",0,IF(M182&gt;TIME(18,0,0),1,0))</f>
        <v/>
      </c>
      <c r="S182">
        <f>IF(AND(H182="Yes",O182=1,COUNTIFS($C$2:C182,C182,$N$2:N182,N182,$H$2:H182,"Yes",$O$2:O182,1)=1),1,0)</f>
        <v/>
      </c>
      <c r="T182">
        <f>SUMIFS($F$2:$F$294,$C$2:$C$294,C182,$N$2:$N$294,N182,$H$2:$H$294,"Yes",$O$2:$O$294,1)</f>
        <v/>
      </c>
    </row>
    <row r="183">
      <c r="A183" t="inlineStr">
        <is>
          <t>SE-00007842</t>
        </is>
      </c>
      <c r="B183" t="inlineStr">
        <is>
          <t>Daystars Killara</t>
        </is>
      </c>
      <c r="C183" t="inlineStr">
        <is>
          <t>Killara Child Care Centre Pty Limited</t>
        </is>
      </c>
      <c r="D183" t="inlineStr">
        <is>
          <t>KILLARA</t>
        </is>
      </c>
      <c r="E183" t="inlineStr">
        <is>
          <t>2071</t>
        </is>
      </c>
      <c r="F183" t="n">
        <v>43</v>
      </c>
      <c r="G183" t="inlineStr">
        <is>
          <t>Meeting NQS</t>
        </is>
      </c>
      <c r="H183" t="inlineStr">
        <is>
          <t>Yes</t>
        </is>
      </c>
      <c r="I183" t="inlineStr">
        <is>
          <t>No</t>
        </is>
      </c>
      <c r="J183" t="inlineStr">
        <is>
          <t>No</t>
        </is>
      </c>
      <c r="K183" s="9" t="n">
        <v>40756</v>
      </c>
      <c r="L183" s="10" t="n">
        <v>0.2916666666666667</v>
      </c>
      <c r="M183" s="10" t="n">
        <v>0.75</v>
      </c>
      <c r="N183">
        <f>IFERROR(VLOOKUP(UPPER(D183),Suburb_LGA_Map!$A:$B,2,FALSE),"")</f>
        <v/>
      </c>
      <c r="O183" s="3" t="n">
        <v>1</v>
      </c>
      <c r="P183">
        <f>IF(K183="",0,IF(K183&gt;=DATE(2021,1,1),1,0))</f>
        <v/>
      </c>
      <c r="Q183">
        <f>IF(L183="",0,IF(L183&lt;TIME(7,0,0),1,0))</f>
        <v/>
      </c>
      <c r="R183">
        <f>IF(M183="",0,IF(M183&gt;TIME(18,0,0),1,0))</f>
        <v/>
      </c>
      <c r="S183">
        <f>IF(AND(H183="Yes",O183=1,COUNTIFS($C$2:C183,C183,$N$2:N183,N183,$H$2:H183,"Yes",$O$2:O183,1)=1),1,0)</f>
        <v/>
      </c>
      <c r="T183">
        <f>SUMIFS($F$2:$F$294,$C$2:$C$294,C183,$N$2:$N$294,N183,$H$2:$H$294,"Yes",$O$2:$O$294,1)</f>
        <v/>
      </c>
    </row>
    <row r="184">
      <c r="A184" t="inlineStr">
        <is>
          <t>SE-00007844</t>
        </is>
      </c>
      <c r="B184" t="inlineStr">
        <is>
          <t>Playbright Rosebery</t>
        </is>
      </c>
      <c r="C184" t="inlineStr">
        <is>
          <t>Evergreen TCE Pty Ltd atf Alren Family Trust</t>
        </is>
      </c>
      <c r="D184" t="inlineStr">
        <is>
          <t>ROSEBERY</t>
        </is>
      </c>
      <c r="E184" t="inlineStr">
        <is>
          <t>2018</t>
        </is>
      </c>
      <c r="F184" t="n">
        <v>41</v>
      </c>
      <c r="G184" t="inlineStr">
        <is>
          <t>Meeting NQS</t>
        </is>
      </c>
      <c r="H184" t="inlineStr">
        <is>
          <t>Yes</t>
        </is>
      </c>
      <c r="I184" t="inlineStr">
        <is>
          <t>No</t>
        </is>
      </c>
      <c r="J184" t="inlineStr">
        <is>
          <t>No</t>
        </is>
      </c>
      <c r="K184" s="9" t="n">
        <v>39063</v>
      </c>
      <c r="L184" s="10" t="n">
        <v>0.2916666666666667</v>
      </c>
      <c r="M184" s="10" t="n">
        <v>0.75</v>
      </c>
      <c r="N184">
        <f>IFERROR(VLOOKUP(UPPER(D184),Suburb_LGA_Map!$A:$B,2,FALSE),"")</f>
        <v/>
      </c>
      <c r="O184" s="3" t="n">
        <v>1</v>
      </c>
      <c r="P184">
        <f>IF(K184="",0,IF(K184&gt;=DATE(2021,1,1),1,0))</f>
        <v/>
      </c>
      <c r="Q184">
        <f>IF(L184="",0,IF(L184&lt;TIME(7,0,0),1,0))</f>
        <v/>
      </c>
      <c r="R184">
        <f>IF(M184="",0,IF(M184&gt;TIME(18,0,0),1,0))</f>
        <v/>
      </c>
      <c r="S184">
        <f>IF(AND(H184="Yes",O184=1,COUNTIFS($C$2:C184,C184,$N$2:N184,N184,$H$2:H184,"Yes",$O$2:O184,1)=1),1,0)</f>
        <v/>
      </c>
      <c r="T184">
        <f>SUMIFS($F$2:$F$294,$C$2:$C$294,C184,$N$2:$N$294,N184,$H$2:$H$294,"Yes",$O$2:$O$294,1)</f>
        <v/>
      </c>
    </row>
    <row r="185">
      <c r="A185" t="inlineStr">
        <is>
          <t>SE-00007866</t>
        </is>
      </c>
      <c r="B185" t="inlineStr">
        <is>
          <t>Bright Beginnings Learning Centre Bexley</t>
        </is>
      </c>
      <c r="C185" t="inlineStr">
        <is>
          <t>Bright Beginnings Learning Centre Bexley Pty Ltd</t>
        </is>
      </c>
      <c r="D185" t="inlineStr">
        <is>
          <t>BEXLEY</t>
        </is>
      </c>
      <c r="E185" t="inlineStr">
        <is>
          <t>2207</t>
        </is>
      </c>
      <c r="F185" t="n">
        <v>57</v>
      </c>
      <c r="G185" t="inlineStr">
        <is>
          <t>Meeting NQS</t>
        </is>
      </c>
      <c r="H185" t="inlineStr">
        <is>
          <t>Yes</t>
        </is>
      </c>
      <c r="I185" t="inlineStr">
        <is>
          <t>No</t>
        </is>
      </c>
      <c r="J185" t="inlineStr">
        <is>
          <t>No</t>
        </is>
      </c>
      <c r="K185" s="9" t="n">
        <v>39708</v>
      </c>
      <c r="L185" s="10" t="n">
        <v>0.2916666666666667</v>
      </c>
      <c r="M185" s="10" t="n">
        <v>0.75</v>
      </c>
      <c r="N185">
        <f>IFERROR(VLOOKUP(UPPER(D185),Suburb_LGA_Map!$A:$B,2,FALSE),"")</f>
        <v/>
      </c>
      <c r="O185" s="3" t="n">
        <v>1</v>
      </c>
      <c r="P185">
        <f>IF(K185="",0,IF(K185&gt;=DATE(2021,1,1),1,0))</f>
        <v/>
      </c>
      <c r="Q185">
        <f>IF(L185="",0,IF(L185&lt;TIME(7,0,0),1,0))</f>
        <v/>
      </c>
      <c r="R185">
        <f>IF(M185="",0,IF(M185&gt;TIME(18,0,0),1,0))</f>
        <v/>
      </c>
      <c r="S185">
        <f>IF(AND(H185="Yes",O185=1,COUNTIFS($C$2:C185,C185,$N$2:N185,N185,$H$2:H185,"Yes",$O$2:O185,1)=1),1,0)</f>
        <v/>
      </c>
      <c r="T185">
        <f>SUMIFS($F$2:$F$294,$C$2:$C$294,C185,$N$2:$N$294,N185,$H$2:$H$294,"Yes",$O$2:$O$294,1)</f>
        <v/>
      </c>
    </row>
    <row r="186">
      <c r="A186" t="inlineStr">
        <is>
          <t>SE-00007869</t>
        </is>
      </c>
      <c r="B186" t="inlineStr">
        <is>
          <t>Kinderoos</t>
        </is>
      </c>
      <c r="C186" t="inlineStr">
        <is>
          <t>Kinderoos Australia PTY LTD</t>
        </is>
      </c>
      <c r="D186" t="inlineStr">
        <is>
          <t>BEXLEY NORTH</t>
        </is>
      </c>
      <c r="E186" t="inlineStr">
        <is>
          <t>2207</t>
        </is>
      </c>
      <c r="F186" t="n">
        <v>89</v>
      </c>
      <c r="G186" t="inlineStr">
        <is>
          <t>Meeting NQS</t>
        </is>
      </c>
      <c r="H186" t="inlineStr">
        <is>
          <t>Yes</t>
        </is>
      </c>
      <c r="I186" t="inlineStr">
        <is>
          <t>No</t>
        </is>
      </c>
      <c r="J186" t="inlineStr">
        <is>
          <t>No</t>
        </is>
      </c>
      <c r="K186" s="9" t="n">
        <v>39021</v>
      </c>
      <c r="L186" s="10" t="n">
        <v>0.3125</v>
      </c>
      <c r="M186" s="10" t="n">
        <v>0.75</v>
      </c>
      <c r="N186">
        <f>IFERROR(VLOOKUP(UPPER(D186),Suburb_LGA_Map!$A:$B,2,FALSE),"")</f>
        <v/>
      </c>
      <c r="O186" s="3" t="n">
        <v>1</v>
      </c>
      <c r="P186">
        <f>IF(K186="",0,IF(K186&gt;=DATE(2021,1,1),1,0))</f>
        <v/>
      </c>
      <c r="Q186">
        <f>IF(L186="",0,IF(L186&lt;TIME(7,0,0),1,0))</f>
        <v/>
      </c>
      <c r="R186">
        <f>IF(M186="",0,IF(M186&gt;TIME(18,0,0),1,0))</f>
        <v/>
      </c>
      <c r="S186">
        <f>IF(AND(H186="Yes",O186=1,COUNTIFS($C$2:C186,C186,$N$2:N186,N186,$H$2:H186,"Yes",$O$2:O186,1)=1),1,0)</f>
        <v/>
      </c>
      <c r="T186">
        <f>SUMIFS($F$2:$F$294,$C$2:$C$294,C186,$N$2:$N$294,N186,$H$2:$H$294,"Yes",$O$2:$O$294,1)</f>
        <v/>
      </c>
    </row>
    <row r="187">
      <c r="A187" t="inlineStr">
        <is>
          <t>SE-00007870</t>
        </is>
      </c>
      <c r="B187" t="inlineStr">
        <is>
          <t>Kinderoos (Arncliffe)</t>
        </is>
      </c>
      <c r="C187" t="inlineStr">
        <is>
          <t>Kinderoos Australia PTY LTD</t>
        </is>
      </c>
      <c r="D187" t="inlineStr">
        <is>
          <t>ARNCLIFFE</t>
        </is>
      </c>
      <c r="E187" t="inlineStr">
        <is>
          <t>2205</t>
        </is>
      </c>
      <c r="F187" t="n">
        <v>45</v>
      </c>
      <c r="G187" t="inlineStr">
        <is>
          <t>Meeting NQS</t>
        </is>
      </c>
      <c r="H187" t="inlineStr">
        <is>
          <t>Yes</t>
        </is>
      </c>
      <c r="I187" t="inlineStr">
        <is>
          <t>No</t>
        </is>
      </c>
      <c r="J187" t="inlineStr">
        <is>
          <t>No</t>
        </is>
      </c>
      <c r="K187" s="9" t="n">
        <v>40854</v>
      </c>
      <c r="L187" s="10" t="n">
        <v>0.3125</v>
      </c>
      <c r="M187" s="10" t="n">
        <v>0.75</v>
      </c>
      <c r="N187">
        <f>IFERROR(VLOOKUP(UPPER(D187),Suburb_LGA_Map!$A:$B,2,FALSE),"")</f>
        <v/>
      </c>
      <c r="O187" s="3" t="n">
        <v>1</v>
      </c>
      <c r="P187">
        <f>IF(K187="",0,IF(K187&gt;=DATE(2021,1,1),1,0))</f>
        <v/>
      </c>
      <c r="Q187">
        <f>IF(L187="",0,IF(L187&lt;TIME(7,0,0),1,0))</f>
        <v/>
      </c>
      <c r="R187">
        <f>IF(M187="",0,IF(M187&gt;TIME(18,0,0),1,0))</f>
        <v/>
      </c>
      <c r="S187">
        <f>IF(AND(H187="Yes",O187=1,COUNTIFS($C$2:C187,C187,$N$2:N187,N187,$H$2:H187,"Yes",$O$2:O187,1)=1),1,0)</f>
        <v/>
      </c>
      <c r="T187">
        <f>SUMIFS($F$2:$F$294,$C$2:$C$294,C187,$N$2:$N$294,N187,$H$2:$H$294,"Yes",$O$2:$O$294,1)</f>
        <v/>
      </c>
    </row>
    <row r="188">
      <c r="A188" t="inlineStr">
        <is>
          <t>SE-00007878</t>
        </is>
      </c>
      <c r="B188" t="inlineStr">
        <is>
          <t>Kindisaurus CCC</t>
        </is>
      </c>
      <c r="C188" t="inlineStr"/>
      <c r="D188" t="inlineStr">
        <is>
          <t>MASCOT</t>
        </is>
      </c>
      <c r="E188" t="inlineStr">
        <is>
          <t>2020</t>
        </is>
      </c>
      <c r="F188" t="n">
        <v>26</v>
      </c>
      <c r="G188" t="inlineStr">
        <is>
          <t>Meeting NQS</t>
        </is>
      </c>
      <c r="H188" t="inlineStr">
        <is>
          <t>Yes</t>
        </is>
      </c>
      <c r="I188" t="inlineStr">
        <is>
          <t>No</t>
        </is>
      </c>
      <c r="J188" t="inlineStr">
        <is>
          <t>No</t>
        </is>
      </c>
      <c r="K188" s="9" t="n">
        <v>39878</v>
      </c>
      <c r="L188" s="10" t="n">
        <v>0.3020833333333333</v>
      </c>
      <c r="M188" s="10" t="n">
        <v>0.75</v>
      </c>
      <c r="N188">
        <f>IFERROR(VLOOKUP(UPPER(D188),Suburb_LGA_Map!$A:$B,2,FALSE),"")</f>
        <v/>
      </c>
      <c r="O188" s="3" t="n">
        <v>1</v>
      </c>
      <c r="P188">
        <f>IF(K188="",0,IF(K188&gt;=DATE(2021,1,1),1,0))</f>
        <v/>
      </c>
      <c r="Q188">
        <f>IF(L188="",0,IF(L188&lt;TIME(7,0,0),1,0))</f>
        <v/>
      </c>
      <c r="R188">
        <f>IF(M188="",0,IF(M188&gt;TIME(18,0,0),1,0))</f>
        <v/>
      </c>
      <c r="S188">
        <f>IF(AND(H188="Yes",O188=1,COUNTIFS($C$2:C188,C188,$N$2:N188,N188,$H$2:H188,"Yes",$O$2:O188,1)=1),1,0)</f>
        <v/>
      </c>
      <c r="T188">
        <f>SUMIFS($F$2:$F$294,$C$2:$C$294,C188,$N$2:$N$294,N188,$H$2:$H$294,"Yes",$O$2:$O$294,1)</f>
        <v/>
      </c>
    </row>
    <row r="189">
      <c r="A189" t="inlineStr">
        <is>
          <t>SE-40009539</t>
        </is>
      </c>
      <c r="B189" t="inlineStr">
        <is>
          <t>Giggles and Growth</t>
        </is>
      </c>
      <c r="C189" t="inlineStr">
        <is>
          <t>Bluegum Family Day Care Pty Ltd</t>
        </is>
      </c>
      <c r="D189" t="inlineStr">
        <is>
          <t>ARNCLIFFE</t>
        </is>
      </c>
      <c r="E189" t="inlineStr">
        <is>
          <t>2205</t>
        </is>
      </c>
      <c r="F189" t="n">
        <v>24</v>
      </c>
      <c r="G189" t="inlineStr">
        <is>
          <t>Meeting NQS</t>
        </is>
      </c>
      <c r="H189" t="inlineStr">
        <is>
          <t>No</t>
        </is>
      </c>
      <c r="I189" t="inlineStr">
        <is>
          <t>No</t>
        </is>
      </c>
      <c r="J189" t="inlineStr">
        <is>
          <t>Yes</t>
        </is>
      </c>
      <c r="K189" s="9" t="n">
        <v>42957</v>
      </c>
      <c r="L189" s="10" t="n"/>
      <c r="M189" s="10" t="n"/>
      <c r="N189">
        <f>IFERROR(VLOOKUP(UPPER(D189),Suburb_LGA_Map!$A:$B,2,FALSE),"")</f>
        <v/>
      </c>
      <c r="O189" s="3" t="n">
        <v>1</v>
      </c>
      <c r="P189">
        <f>IF(K189="",0,IF(K189&gt;=DATE(2021,1,1),1,0))</f>
        <v/>
      </c>
      <c r="Q189">
        <f>IF(L189="",0,IF(L189&lt;TIME(7,0,0),1,0))</f>
        <v/>
      </c>
      <c r="R189">
        <f>IF(M189="",0,IF(M189&gt;TIME(18,0,0),1,0))</f>
        <v/>
      </c>
      <c r="S189">
        <f>IF(AND(H189="Yes",O189=1,COUNTIFS($C$2:C189,C189,$N$2:N189,N189,$H$2:H189,"Yes",$O$2:O189,1)=1),1,0)</f>
        <v/>
      </c>
      <c r="T189">
        <f>SUMIFS($F$2:$F$294,$C$2:$C$294,C189,$N$2:$N$294,N189,$H$2:$H$294,"Yes",$O$2:$O$294,1)</f>
        <v/>
      </c>
    </row>
    <row r="190">
      <c r="A190" t="inlineStr">
        <is>
          <t>SE-40003068</t>
        </is>
      </c>
      <c r="B190" t="inlineStr">
        <is>
          <t>Oak Tree Early Learning Centres - West Pymble</t>
        </is>
      </c>
      <c r="C190" t="inlineStr">
        <is>
          <t>Oak Tree Early Learning Centres Pty Ltd</t>
        </is>
      </c>
      <c r="D190" t="inlineStr">
        <is>
          <t>WEST PYMBLE</t>
        </is>
      </c>
      <c r="E190" t="inlineStr">
        <is>
          <t>2073</t>
        </is>
      </c>
      <c r="F190" t="n">
        <v>60</v>
      </c>
      <c r="G190" t="inlineStr">
        <is>
          <t>Meeting NQS</t>
        </is>
      </c>
      <c r="H190" t="inlineStr">
        <is>
          <t>Yes</t>
        </is>
      </c>
      <c r="I190" t="inlineStr">
        <is>
          <t>No</t>
        </is>
      </c>
      <c r="J190" t="inlineStr">
        <is>
          <t>No</t>
        </is>
      </c>
      <c r="K190" s="9" t="n">
        <v>41995</v>
      </c>
      <c r="L190" s="10" t="n">
        <v>0.2916666666666667</v>
      </c>
      <c r="M190" s="10" t="n">
        <v>0.75</v>
      </c>
      <c r="N190">
        <f>IFERROR(VLOOKUP(UPPER(D190),Suburb_LGA_Map!$A:$B,2,FALSE),"")</f>
        <v/>
      </c>
      <c r="O190" s="3" t="n">
        <v>1</v>
      </c>
      <c r="P190">
        <f>IF(K190="",0,IF(K190&gt;=DATE(2021,1,1),1,0))</f>
        <v/>
      </c>
      <c r="Q190">
        <f>IF(L190="",0,IF(L190&lt;TIME(7,0,0),1,0))</f>
        <v/>
      </c>
      <c r="R190">
        <f>IF(M190="",0,IF(M190&gt;TIME(18,0,0),1,0))</f>
        <v/>
      </c>
      <c r="S190">
        <f>IF(AND(H190="Yes",O190=1,COUNTIFS($C$2:C190,C190,$N$2:N190,N190,$H$2:H190,"Yes",$O$2:O190,1)=1),1,0)</f>
        <v/>
      </c>
      <c r="T190">
        <f>SUMIFS($F$2:$F$294,$C$2:$C$294,C190,$N$2:$N$294,N190,$H$2:$H$294,"Yes",$O$2:$O$294,1)</f>
        <v/>
      </c>
    </row>
    <row r="191">
      <c r="A191" t="inlineStr">
        <is>
          <t>SE-00018933</t>
        </is>
      </c>
      <c r="B191" t="inlineStr">
        <is>
          <t>SCECS OSHC St Gabriel's Bexley</t>
        </is>
      </c>
      <c r="C191" t="inlineStr">
        <is>
          <t>SYDNEY CATHOLIC EARLY CHILDHOOD SERVICES LTD</t>
        </is>
      </c>
      <c r="D191" t="inlineStr">
        <is>
          <t>BEXLEY</t>
        </is>
      </c>
      <c r="E191" t="inlineStr">
        <is>
          <t>2207</t>
        </is>
      </c>
      <c r="F191" t="n">
        <v>60</v>
      </c>
      <c r="G191" t="inlineStr"/>
      <c r="H191" t="inlineStr">
        <is>
          <t>No</t>
        </is>
      </c>
      <c r="I191" t="inlineStr">
        <is>
          <t>No</t>
        </is>
      </c>
      <c r="J191" t="inlineStr">
        <is>
          <t>Yes</t>
        </is>
      </c>
      <c r="K191" s="9" t="n">
        <v>46227</v>
      </c>
      <c r="L191" s="10" t="n"/>
      <c r="M191" s="10" t="n"/>
      <c r="N191">
        <f>IFERROR(VLOOKUP(UPPER(D191),Suburb_LGA_Map!$A:$B,2,FALSE),"")</f>
        <v/>
      </c>
      <c r="O191" s="3" t="n">
        <v>1</v>
      </c>
      <c r="P191">
        <f>IF(K191="",0,IF(K191&gt;=DATE(2021,1,1),1,0))</f>
        <v/>
      </c>
      <c r="Q191">
        <f>IF(L191="",0,IF(L191&lt;TIME(7,0,0),1,0))</f>
        <v/>
      </c>
      <c r="R191">
        <f>IF(M191="",0,IF(M191&gt;TIME(18,0,0),1,0))</f>
        <v/>
      </c>
      <c r="S191">
        <f>IF(AND(H191="Yes",O191=1,COUNTIFS($C$2:C191,C191,$N$2:N191,N191,$H$2:H191,"Yes",$O$2:O191,1)=1),1,0)</f>
        <v/>
      </c>
      <c r="T191">
        <f>SUMIFS($F$2:$F$294,$C$2:$C$294,C191,$N$2:$N$294,N191,$H$2:$H$294,"Yes",$O$2:$O$294,1)</f>
        <v/>
      </c>
    </row>
    <row r="192">
      <c r="A192" t="inlineStr">
        <is>
          <t>SE-00018946</t>
        </is>
      </c>
      <c r="B192" t="inlineStr">
        <is>
          <t>Gowrie NSW Audrey St Leonards Early Education Centre</t>
        </is>
      </c>
      <c r="C192" t="inlineStr">
        <is>
          <t>Gowrie NSW</t>
        </is>
      </c>
      <c r="D192" t="inlineStr">
        <is>
          <t>ST LEONARDS</t>
        </is>
      </c>
      <c r="E192" t="inlineStr">
        <is>
          <t>2065</t>
        </is>
      </c>
      <c r="F192" t="n">
        <v>60</v>
      </c>
      <c r="G192" t="inlineStr"/>
      <c r="H192" t="inlineStr">
        <is>
          <t>Yes</t>
        </is>
      </c>
      <c r="I192" t="inlineStr">
        <is>
          <t>No</t>
        </is>
      </c>
      <c r="J192" t="inlineStr">
        <is>
          <t>No</t>
        </is>
      </c>
      <c r="K192" s="9" t="n">
        <v>46288</v>
      </c>
      <c r="L192" s="10" t="n">
        <v>0.3125</v>
      </c>
      <c r="M192" s="10" t="n">
        <v>0.75</v>
      </c>
      <c r="N192">
        <f>IFERROR(VLOOKUP(UPPER(D192),Suburb_LGA_Map!$A:$B,2,FALSE),"")</f>
        <v/>
      </c>
      <c r="O192" s="3" t="n">
        <v>1</v>
      </c>
      <c r="P192">
        <f>IF(K192="",0,IF(K192&gt;=DATE(2021,1,1),1,0))</f>
        <v/>
      </c>
      <c r="Q192">
        <f>IF(L192="",0,IF(L192&lt;TIME(7,0,0),1,0))</f>
        <v/>
      </c>
      <c r="R192">
        <f>IF(M192="",0,IF(M192&gt;TIME(18,0,0),1,0))</f>
        <v/>
      </c>
      <c r="S192">
        <f>IF(AND(H192="Yes",O192=1,COUNTIFS($C$2:C192,C192,$N$2:N192,N192,$H$2:H192,"Yes",$O$2:O192,1)=1),1,0)</f>
        <v/>
      </c>
      <c r="T192">
        <f>SUMIFS($F$2:$F$294,$C$2:$C$294,C192,$N$2:$N$294,N192,$H$2:$H$294,"Yes",$O$2:$O$294,1)</f>
        <v/>
      </c>
    </row>
    <row r="193">
      <c r="A193" t="inlineStr">
        <is>
          <t>SE-40000013</t>
        </is>
      </c>
      <c r="B193" t="inlineStr">
        <is>
          <t>Mungarra Kindergarten</t>
        </is>
      </c>
      <c r="C193" t="inlineStr">
        <is>
          <t>AUSTRALIA ACACIA EARLY EDUCATION PTY LTD</t>
        </is>
      </c>
      <c r="D193" t="inlineStr">
        <is>
          <t>ST IVES</t>
        </is>
      </c>
      <c r="E193" t="inlineStr">
        <is>
          <t>2075</t>
        </is>
      </c>
      <c r="F193" t="n">
        <v>25</v>
      </c>
      <c r="G193" t="inlineStr">
        <is>
          <t>Meeting NQS</t>
        </is>
      </c>
      <c r="H193" t="inlineStr">
        <is>
          <t>Yes</t>
        </is>
      </c>
      <c r="I193" t="inlineStr">
        <is>
          <t>No</t>
        </is>
      </c>
      <c r="J193" t="inlineStr">
        <is>
          <t>No</t>
        </is>
      </c>
      <c r="K193" s="9" t="n">
        <v>41248</v>
      </c>
      <c r="L193" s="10" t="n">
        <v>0.3229166666666667</v>
      </c>
      <c r="M193" s="10" t="n">
        <v>0.7395833333333334</v>
      </c>
      <c r="N193">
        <f>IFERROR(VLOOKUP(UPPER(D193),Suburb_LGA_Map!$A:$B,2,FALSE),"")</f>
        <v/>
      </c>
      <c r="O193" s="3" t="n">
        <v>1</v>
      </c>
      <c r="P193">
        <f>IF(K193="",0,IF(K193&gt;=DATE(2021,1,1),1,0))</f>
        <v/>
      </c>
      <c r="Q193">
        <f>IF(L193="",0,IF(L193&lt;TIME(7,0,0),1,0))</f>
        <v/>
      </c>
      <c r="R193">
        <f>IF(M193="",0,IF(M193&gt;TIME(18,0,0),1,0))</f>
        <v/>
      </c>
      <c r="S193">
        <f>IF(AND(H193="Yes",O193=1,COUNTIFS($C$2:C193,C193,$N$2:N193,N193,$H$2:H193,"Yes",$O$2:O193,1)=1),1,0)</f>
        <v/>
      </c>
      <c r="T193">
        <f>SUMIFS($F$2:$F$294,$C$2:$C$294,C193,$N$2:$N$294,N193,$H$2:$H$294,"Yes",$O$2:$O$294,1)</f>
        <v/>
      </c>
    </row>
    <row r="194">
      <c r="A194" t="inlineStr">
        <is>
          <t>SE-00013746</t>
        </is>
      </c>
      <c r="B194" t="inlineStr">
        <is>
          <t>Camp Australia - Loreto Kirribilli OSHC</t>
        </is>
      </c>
      <c r="C194" t="inlineStr">
        <is>
          <t>Camp Australia Pty Limited</t>
        </is>
      </c>
      <c r="D194" t="inlineStr">
        <is>
          <t>KIRRIBILLI</t>
        </is>
      </c>
      <c r="E194" t="inlineStr">
        <is>
          <t>2061</t>
        </is>
      </c>
      <c r="F194" t="n">
        <v>23</v>
      </c>
      <c r="G194" t="inlineStr">
        <is>
          <t>Meeting NQS</t>
        </is>
      </c>
      <c r="H194" t="inlineStr">
        <is>
          <t>No</t>
        </is>
      </c>
      <c r="I194" t="inlineStr">
        <is>
          <t>No</t>
        </is>
      </c>
      <c r="J194" t="inlineStr">
        <is>
          <t>Yes</t>
        </is>
      </c>
      <c r="K194" s="9" t="n">
        <v>41417</v>
      </c>
      <c r="L194" s="10" t="n"/>
      <c r="M194" s="10" t="n"/>
      <c r="N194">
        <f>IFERROR(VLOOKUP(UPPER(D194),Suburb_LGA_Map!$A:$B,2,FALSE),"")</f>
        <v/>
      </c>
      <c r="O194" s="3" t="n">
        <v>1</v>
      </c>
      <c r="P194">
        <f>IF(K194="",0,IF(K194&gt;=DATE(2021,1,1),1,0))</f>
        <v/>
      </c>
      <c r="Q194">
        <f>IF(L194="",0,IF(L194&lt;TIME(7,0,0),1,0))</f>
        <v/>
      </c>
      <c r="R194">
        <f>IF(M194="",0,IF(M194&gt;TIME(18,0,0),1,0))</f>
        <v/>
      </c>
      <c r="S194">
        <f>IF(AND(H194="Yes",O194=1,COUNTIFS($C$2:C194,C194,$N$2:N194,N194,$H$2:H194,"Yes",$O$2:O194,1)=1),1,0)</f>
        <v/>
      </c>
      <c r="T194">
        <f>SUMIFS($F$2:$F$294,$C$2:$C$294,C194,$N$2:$N$294,N194,$H$2:$H$294,"Yes",$O$2:$O$294,1)</f>
        <v/>
      </c>
    </row>
    <row r="195">
      <c r="A195" t="inlineStr">
        <is>
          <t>SE-00013767</t>
        </is>
      </c>
      <c r="B195" t="inlineStr">
        <is>
          <t>South Turramurra OOSH</t>
        </is>
      </c>
      <c r="C195" t="inlineStr">
        <is>
          <t>South Turramurra Out of School Care Incorporated</t>
        </is>
      </c>
      <c r="D195" t="inlineStr">
        <is>
          <t>TURRAMURRA</t>
        </is>
      </c>
      <c r="E195" t="inlineStr">
        <is>
          <t>2074</t>
        </is>
      </c>
      <c r="F195" t="n">
        <v>300</v>
      </c>
      <c r="G195" t="inlineStr">
        <is>
          <t>Exceeding NQS</t>
        </is>
      </c>
      <c r="H195" t="inlineStr">
        <is>
          <t>No</t>
        </is>
      </c>
      <c r="I195" t="inlineStr">
        <is>
          <t>No</t>
        </is>
      </c>
      <c r="J195" t="inlineStr">
        <is>
          <t>Yes</t>
        </is>
      </c>
      <c r="K195" s="9" t="n">
        <v>41544</v>
      </c>
      <c r="L195" s="10" t="n"/>
      <c r="M195" s="10" t="n"/>
      <c r="N195">
        <f>IFERROR(VLOOKUP(UPPER(D195),Suburb_LGA_Map!$A:$B,2,FALSE),"")</f>
        <v/>
      </c>
      <c r="O195" s="3" t="n">
        <v>1</v>
      </c>
      <c r="P195">
        <f>IF(K195="",0,IF(K195&gt;=DATE(2021,1,1),1,0))</f>
        <v/>
      </c>
      <c r="Q195">
        <f>IF(L195="",0,IF(L195&lt;TIME(7,0,0),1,0))</f>
        <v/>
      </c>
      <c r="R195">
        <f>IF(M195="",0,IF(M195&gt;TIME(18,0,0),1,0))</f>
        <v/>
      </c>
      <c r="S195">
        <f>IF(AND(H195="Yes",O195=1,COUNTIFS($C$2:C195,C195,$N$2:N195,N195,$H$2:H195,"Yes",$O$2:O195,1)=1),1,0)</f>
        <v/>
      </c>
      <c r="T195">
        <f>SUMIFS($F$2:$F$294,$C$2:$C$294,C195,$N$2:$N$294,N195,$H$2:$H$294,"Yes",$O$2:$O$294,1)</f>
        <v/>
      </c>
    </row>
    <row r="196">
      <c r="A196" t="inlineStr">
        <is>
          <t>SE-00013796</t>
        </is>
      </c>
      <c r="B196" t="inlineStr">
        <is>
          <t>POOSH Care Inc</t>
        </is>
      </c>
      <c r="C196" t="inlineStr">
        <is>
          <t>POOSH Care Incorporated</t>
        </is>
      </c>
      <c r="D196" t="inlineStr">
        <is>
          <t>PYMBLE</t>
        </is>
      </c>
      <c r="E196" t="inlineStr">
        <is>
          <t>2073</t>
        </is>
      </c>
      <c r="F196" t="n">
        <v>210</v>
      </c>
      <c r="G196" t="inlineStr">
        <is>
          <t>Exceeding NQS</t>
        </is>
      </c>
      <c r="H196" t="inlineStr">
        <is>
          <t>No</t>
        </is>
      </c>
      <c r="I196" t="inlineStr">
        <is>
          <t>No</t>
        </is>
      </c>
      <c r="J196" t="inlineStr">
        <is>
          <t>Yes</t>
        </is>
      </c>
      <c r="K196" s="9" t="n">
        <v>41547</v>
      </c>
      <c r="L196" s="10" t="n"/>
      <c r="M196" s="10" t="n"/>
      <c r="N196">
        <f>IFERROR(VLOOKUP(UPPER(D196),Suburb_LGA_Map!$A:$B,2,FALSE),"")</f>
        <v/>
      </c>
      <c r="O196" s="3" t="n">
        <v>1</v>
      </c>
      <c r="P196">
        <f>IF(K196="",0,IF(K196&gt;=DATE(2021,1,1),1,0))</f>
        <v/>
      </c>
      <c r="Q196">
        <f>IF(L196="",0,IF(L196&lt;TIME(7,0,0),1,0))</f>
        <v/>
      </c>
      <c r="R196">
        <f>IF(M196="",0,IF(M196&gt;TIME(18,0,0),1,0))</f>
        <v/>
      </c>
      <c r="S196">
        <f>IF(AND(H196="Yes",O196=1,COUNTIFS($C$2:C196,C196,$N$2:N196,N196,$H$2:H196,"Yes",$O$2:O196,1)=1),1,0)</f>
        <v/>
      </c>
      <c r="T196">
        <f>SUMIFS($F$2:$F$294,$C$2:$C$294,C196,$N$2:$N$294,N196,$H$2:$H$294,"Yes",$O$2:$O$294,1)</f>
        <v/>
      </c>
    </row>
    <row r="197">
      <c r="A197" t="inlineStr">
        <is>
          <t>SE-00013800</t>
        </is>
      </c>
      <c r="B197" t="inlineStr">
        <is>
          <t>Roseville College CommunityOSH</t>
        </is>
      </c>
      <c r="C197" t="inlineStr">
        <is>
          <t>COMMUNITYOSH PTY LTD</t>
        </is>
      </c>
      <c r="D197" t="inlineStr">
        <is>
          <t>ROSEVILLE</t>
        </is>
      </c>
      <c r="E197" t="inlineStr">
        <is>
          <t>2069</t>
        </is>
      </c>
      <c r="F197" t="n">
        <v>34</v>
      </c>
      <c r="G197" t="inlineStr">
        <is>
          <t>Meeting NQS</t>
        </is>
      </c>
      <c r="H197" t="inlineStr">
        <is>
          <t>No</t>
        </is>
      </c>
      <c r="I197" t="inlineStr">
        <is>
          <t>No</t>
        </is>
      </c>
      <c r="J197" t="inlineStr">
        <is>
          <t>Yes</t>
        </is>
      </c>
      <c r="K197" s="9" t="n">
        <v>41530</v>
      </c>
      <c r="L197" s="10" t="n"/>
      <c r="M197" s="10" t="n"/>
      <c r="N197">
        <f>IFERROR(VLOOKUP(UPPER(D197),Suburb_LGA_Map!$A:$B,2,FALSE),"")</f>
        <v/>
      </c>
      <c r="O197" s="3" t="n">
        <v>1</v>
      </c>
      <c r="P197">
        <f>IF(K197="",0,IF(K197&gt;=DATE(2021,1,1),1,0))</f>
        <v/>
      </c>
      <c r="Q197">
        <f>IF(L197="",0,IF(L197&lt;TIME(7,0,0),1,0))</f>
        <v/>
      </c>
      <c r="R197">
        <f>IF(M197="",0,IF(M197&gt;TIME(18,0,0),1,0))</f>
        <v/>
      </c>
      <c r="S197">
        <f>IF(AND(H197="Yes",O197=1,COUNTIFS($C$2:C197,C197,$N$2:N197,N197,$H$2:H197,"Yes",$O$2:O197,1)=1),1,0)</f>
        <v/>
      </c>
      <c r="T197">
        <f>SUMIFS($F$2:$F$294,$C$2:$C$294,C197,$N$2:$N$294,N197,$H$2:$H$294,"Yes",$O$2:$O$294,1)</f>
        <v/>
      </c>
    </row>
    <row r="198">
      <c r="A198" t="inlineStr">
        <is>
          <t>SE-00013812</t>
        </is>
      </c>
      <c r="B198" t="inlineStr">
        <is>
          <t>Gowrie NSW Killara Outside School hours Care</t>
        </is>
      </c>
      <c r="C198" t="inlineStr">
        <is>
          <t>Gowrie NSW</t>
        </is>
      </c>
      <c r="D198" t="inlineStr">
        <is>
          <t>KILLARA</t>
        </is>
      </c>
      <c r="E198" t="inlineStr">
        <is>
          <t>2071</t>
        </is>
      </c>
      <c r="F198" t="n">
        <v>110</v>
      </c>
      <c r="G198" t="inlineStr">
        <is>
          <t>Exceeding NQS</t>
        </is>
      </c>
      <c r="H198" t="inlineStr">
        <is>
          <t>No</t>
        </is>
      </c>
      <c r="I198" t="inlineStr">
        <is>
          <t>No</t>
        </is>
      </c>
      <c r="J198" t="inlineStr">
        <is>
          <t>Yes</t>
        </is>
      </c>
      <c r="K198" s="9" t="n">
        <v>41627</v>
      </c>
      <c r="L198" s="10" t="n"/>
      <c r="M198" s="10" t="n"/>
      <c r="N198">
        <f>IFERROR(VLOOKUP(UPPER(D198),Suburb_LGA_Map!$A:$B,2,FALSE),"")</f>
        <v/>
      </c>
      <c r="O198" s="3" t="n">
        <v>1</v>
      </c>
      <c r="P198">
        <f>IF(K198="",0,IF(K198&gt;=DATE(2021,1,1),1,0))</f>
        <v/>
      </c>
      <c r="Q198">
        <f>IF(L198="",0,IF(L198&lt;TIME(7,0,0),1,0))</f>
        <v/>
      </c>
      <c r="R198">
        <f>IF(M198="",0,IF(M198&gt;TIME(18,0,0),1,0))</f>
        <v/>
      </c>
      <c r="S198">
        <f>IF(AND(H198="Yes",O198=1,COUNTIFS($C$2:C198,C198,$N$2:N198,N198,$H$2:H198,"Yes",$O$2:O198,1)=1),1,0)</f>
        <v/>
      </c>
      <c r="T198">
        <f>SUMIFS($F$2:$F$294,$C$2:$C$294,C198,$N$2:$N$294,N198,$H$2:$H$294,"Yes",$O$2:$O$294,1)</f>
        <v/>
      </c>
    </row>
    <row r="199">
      <c r="A199" t="inlineStr">
        <is>
          <t>SE-00013816</t>
        </is>
      </c>
      <c r="B199" t="inlineStr">
        <is>
          <t>Daceyville Kids Out of School Hours Care</t>
        </is>
      </c>
      <c r="C199" t="inlineStr">
        <is>
          <t>Weldon Children's Services</t>
        </is>
      </c>
      <c r="D199" t="inlineStr">
        <is>
          <t>DACEYVILLE</t>
        </is>
      </c>
      <c r="E199" t="inlineStr">
        <is>
          <t>2032</t>
        </is>
      </c>
      <c r="F199" t="n">
        <v>120</v>
      </c>
      <c r="G199" t="inlineStr">
        <is>
          <t>Meeting NQS</t>
        </is>
      </c>
      <c r="H199" t="inlineStr">
        <is>
          <t>No</t>
        </is>
      </c>
      <c r="I199" t="inlineStr">
        <is>
          <t>No</t>
        </is>
      </c>
      <c r="J199" t="inlineStr">
        <is>
          <t>Yes</t>
        </is>
      </c>
      <c r="K199" s="9" t="n">
        <v>41627</v>
      </c>
      <c r="L199" s="10" t="n"/>
      <c r="M199" s="10" t="n"/>
      <c r="N199">
        <f>IFERROR(VLOOKUP(UPPER(D199),Suburb_LGA_Map!$A:$B,2,FALSE),"")</f>
        <v/>
      </c>
      <c r="O199" s="3" t="n">
        <v>1</v>
      </c>
      <c r="P199">
        <f>IF(K199="",0,IF(K199&gt;=DATE(2021,1,1),1,0))</f>
        <v/>
      </c>
      <c r="Q199">
        <f>IF(L199="",0,IF(L199&lt;TIME(7,0,0),1,0))</f>
        <v/>
      </c>
      <c r="R199">
        <f>IF(M199="",0,IF(M199&gt;TIME(18,0,0),1,0))</f>
        <v/>
      </c>
      <c r="S199">
        <f>IF(AND(H199="Yes",O199=1,COUNTIFS($C$2:C199,C199,$N$2:N199,N199,$H$2:H199,"Yes",$O$2:O199,1)=1),1,0)</f>
        <v/>
      </c>
      <c r="T199">
        <f>SUMIFS($F$2:$F$294,$C$2:$C$294,C199,$N$2:$N$294,N199,$H$2:$H$294,"Yes",$O$2:$O$294,1)</f>
        <v/>
      </c>
    </row>
    <row r="200">
      <c r="A200" t="inlineStr">
        <is>
          <t>SE-00013817</t>
        </is>
      </c>
      <c r="B200" t="inlineStr">
        <is>
          <t>Star Club</t>
        </is>
      </c>
      <c r="C200" t="inlineStr">
        <is>
          <t>Minghui Education Pty Ltd</t>
        </is>
      </c>
      <c r="D200" t="inlineStr">
        <is>
          <t>BOTANY</t>
        </is>
      </c>
      <c r="E200" t="inlineStr">
        <is>
          <t>2019</t>
        </is>
      </c>
      <c r="F200" t="n">
        <v>139</v>
      </c>
      <c r="G200" t="inlineStr">
        <is>
          <t>Meeting NQS</t>
        </is>
      </c>
      <c r="H200" t="inlineStr">
        <is>
          <t>No</t>
        </is>
      </c>
      <c r="I200" t="inlineStr">
        <is>
          <t>No</t>
        </is>
      </c>
      <c r="J200" t="inlineStr">
        <is>
          <t>Yes</t>
        </is>
      </c>
      <c r="K200" s="9" t="n">
        <v>41472</v>
      </c>
      <c r="L200" s="10" t="n"/>
      <c r="M200" s="10" t="n"/>
      <c r="N200">
        <f>IFERROR(VLOOKUP(UPPER(D200),Suburb_LGA_Map!$A:$B,2,FALSE),"")</f>
        <v/>
      </c>
      <c r="O200" s="3" t="n">
        <v>1</v>
      </c>
      <c r="P200">
        <f>IF(K200="",0,IF(K200&gt;=DATE(2021,1,1),1,0))</f>
        <v/>
      </c>
      <c r="Q200">
        <f>IF(L200="",0,IF(L200&lt;TIME(7,0,0),1,0))</f>
        <v/>
      </c>
      <c r="R200">
        <f>IF(M200="",0,IF(M200&gt;TIME(18,0,0),1,0))</f>
        <v/>
      </c>
      <c r="S200">
        <f>IF(AND(H200="Yes",O200=1,COUNTIFS($C$2:C200,C200,$N$2:N200,N200,$H$2:H200,"Yes",$O$2:O200,1)=1),1,0)</f>
        <v/>
      </c>
      <c r="T200">
        <f>SUMIFS($F$2:$F$294,$C$2:$C$294,C200,$N$2:$N$294,N200,$H$2:$H$294,"Yes",$O$2:$O$294,1)</f>
        <v/>
      </c>
    </row>
    <row r="201">
      <c r="A201" t="inlineStr">
        <is>
          <t>SE-00009436</t>
        </is>
      </c>
      <c r="B201" t="inlineStr">
        <is>
          <t>Uniting West Bexley Preschool</t>
        </is>
      </c>
      <c r="C201" t="inlineStr">
        <is>
          <t>The Uniting Church In Australia Property Trust (NSW)</t>
        </is>
      </c>
      <c r="D201" t="inlineStr">
        <is>
          <t>BEXLEY</t>
        </is>
      </c>
      <c r="E201" t="inlineStr">
        <is>
          <t>2207</t>
        </is>
      </c>
      <c r="F201" t="n">
        <v>50</v>
      </c>
      <c r="G201" t="inlineStr">
        <is>
          <t>Meeting NQS</t>
        </is>
      </c>
      <c r="H201" t="inlineStr">
        <is>
          <t>No</t>
        </is>
      </c>
      <c r="I201" t="inlineStr">
        <is>
          <t>Yes</t>
        </is>
      </c>
      <c r="J201" t="inlineStr">
        <is>
          <t>No</t>
        </is>
      </c>
      <c r="K201" s="9" t="n">
        <v>39198</v>
      </c>
      <c r="L201" s="10" t="n"/>
      <c r="M201" s="10" t="n"/>
      <c r="N201">
        <f>IFERROR(VLOOKUP(UPPER(D201),Suburb_LGA_Map!$A:$B,2,FALSE),"")</f>
        <v/>
      </c>
      <c r="O201" s="3" t="n">
        <v>1</v>
      </c>
      <c r="P201">
        <f>IF(K201="",0,IF(K201&gt;=DATE(2021,1,1),1,0))</f>
        <v/>
      </c>
      <c r="Q201">
        <f>IF(L201="",0,IF(L201&lt;TIME(7,0,0),1,0))</f>
        <v/>
      </c>
      <c r="R201">
        <f>IF(M201="",0,IF(M201&gt;TIME(18,0,0),1,0))</f>
        <v/>
      </c>
      <c r="S201">
        <f>IF(AND(H201="Yes",O201=1,COUNTIFS($C$2:C201,C201,$N$2:N201,N201,$H$2:H201,"Yes",$O$2:O201,1)=1),1,0)</f>
        <v/>
      </c>
      <c r="T201">
        <f>SUMIFS($F$2:$F$294,$C$2:$C$294,C201,$N$2:$N$294,N201,$H$2:$H$294,"Yes",$O$2:$O$294,1)</f>
        <v/>
      </c>
    </row>
    <row r="202">
      <c r="A202" t="inlineStr">
        <is>
          <t>SE-00009460</t>
        </is>
      </c>
      <c r="B202" t="inlineStr">
        <is>
          <t>Only About Children Wahroonga Eastern Road</t>
        </is>
      </c>
      <c r="C202" t="inlineStr">
        <is>
          <t>Only About Children Pty Ltd</t>
        </is>
      </c>
      <c r="D202" t="inlineStr">
        <is>
          <t>WAHROONGA</t>
        </is>
      </c>
      <c r="E202" t="inlineStr">
        <is>
          <t>2076</t>
        </is>
      </c>
      <c r="F202" t="n">
        <v>56</v>
      </c>
      <c r="G202" t="inlineStr">
        <is>
          <t>Exceeding NQS</t>
        </is>
      </c>
      <c r="H202" t="inlineStr">
        <is>
          <t>Yes</t>
        </is>
      </c>
      <c r="I202" t="inlineStr">
        <is>
          <t>No</t>
        </is>
      </c>
      <c r="J202" t="inlineStr">
        <is>
          <t>No</t>
        </is>
      </c>
      <c r="K202" s="9" t="n">
        <v>39111</v>
      </c>
      <c r="L202" s="10" t="n">
        <v>0.3125</v>
      </c>
      <c r="M202" s="10" t="n">
        <v>0.75</v>
      </c>
      <c r="N202">
        <f>IFERROR(VLOOKUP(UPPER(D202),Suburb_LGA_Map!$A:$B,2,FALSE),"")</f>
        <v/>
      </c>
      <c r="O202" s="3" t="n">
        <v>1</v>
      </c>
      <c r="P202">
        <f>IF(K202="",0,IF(K202&gt;=DATE(2021,1,1),1,0))</f>
        <v/>
      </c>
      <c r="Q202">
        <f>IF(L202="",0,IF(L202&lt;TIME(7,0,0),1,0))</f>
        <v/>
      </c>
      <c r="R202">
        <f>IF(M202="",0,IF(M202&gt;TIME(18,0,0),1,0))</f>
        <v/>
      </c>
      <c r="S202">
        <f>IF(AND(H202="Yes",O202=1,COUNTIFS($C$2:C202,C202,$N$2:N202,N202,$H$2:H202,"Yes",$O$2:O202,1)=1),1,0)</f>
        <v/>
      </c>
      <c r="T202">
        <f>SUMIFS($F$2:$F$294,$C$2:$C$294,C202,$N$2:$N$294,N202,$H$2:$H$294,"Yes",$O$2:$O$294,1)</f>
        <v/>
      </c>
    </row>
    <row r="203">
      <c r="A203" t="inlineStr">
        <is>
          <t>SE-00009462</t>
        </is>
      </c>
      <c r="B203" t="inlineStr">
        <is>
          <t>Wahroonga Long Day Care Centre</t>
        </is>
      </c>
      <c r="C203" t="inlineStr">
        <is>
          <t>NQ CHILDCARE PTY LTD</t>
        </is>
      </c>
      <c r="D203" t="inlineStr">
        <is>
          <t>WAHROONGA</t>
        </is>
      </c>
      <c r="E203" t="inlineStr">
        <is>
          <t>2076</t>
        </is>
      </c>
      <c r="F203" t="n">
        <v>27</v>
      </c>
      <c r="G203" t="inlineStr">
        <is>
          <t>Meeting NQS</t>
        </is>
      </c>
      <c r="H203" t="inlineStr">
        <is>
          <t>Yes</t>
        </is>
      </c>
      <c r="I203" t="inlineStr">
        <is>
          <t>No</t>
        </is>
      </c>
      <c r="J203" t="inlineStr">
        <is>
          <t>No</t>
        </is>
      </c>
      <c r="K203" s="9" t="n">
        <v>39248</v>
      </c>
      <c r="L203" s="10" t="n">
        <v>0.3125</v>
      </c>
      <c r="M203" s="10" t="n">
        <v>0.75</v>
      </c>
      <c r="N203">
        <f>IFERROR(VLOOKUP(UPPER(D203),Suburb_LGA_Map!$A:$B,2,FALSE),"")</f>
        <v/>
      </c>
      <c r="O203" s="3" t="n">
        <v>1</v>
      </c>
      <c r="P203">
        <f>IF(K203="",0,IF(K203&gt;=DATE(2021,1,1),1,0))</f>
        <v/>
      </c>
      <c r="Q203">
        <f>IF(L203="",0,IF(L203&lt;TIME(7,0,0),1,0))</f>
        <v/>
      </c>
      <c r="R203">
        <f>IF(M203="",0,IF(M203&gt;TIME(18,0,0),1,0))</f>
        <v/>
      </c>
      <c r="S203">
        <f>IF(AND(H203="Yes",O203=1,COUNTIFS($C$2:C203,C203,$N$2:N203,N203,$H$2:H203,"Yes",$O$2:O203,1)=1),1,0)</f>
        <v/>
      </c>
      <c r="T203">
        <f>SUMIFS($F$2:$F$294,$C$2:$C$294,C203,$N$2:$N$294,N203,$H$2:$H$294,"Yes",$O$2:$O$294,1)</f>
        <v/>
      </c>
    </row>
    <row r="204">
      <c r="A204" t="inlineStr">
        <is>
          <t>SE-40017402</t>
        </is>
      </c>
      <c r="B204" t="inlineStr">
        <is>
          <t>Nest and Nurture Early Learning - Lindfield</t>
        </is>
      </c>
      <c r="C204" t="inlineStr">
        <is>
          <t>First Place Education Group Pty Ltd</t>
        </is>
      </c>
      <c r="D204" t="inlineStr">
        <is>
          <t>LINDFIELD</t>
        </is>
      </c>
      <c r="E204" t="inlineStr">
        <is>
          <t>2070</t>
        </is>
      </c>
      <c r="F204" t="n">
        <v>80</v>
      </c>
      <c r="G204" t="inlineStr">
        <is>
          <t>Meeting NQS</t>
        </is>
      </c>
      <c r="H204" t="inlineStr">
        <is>
          <t>Yes</t>
        </is>
      </c>
      <c r="I204" t="inlineStr">
        <is>
          <t>No</t>
        </is>
      </c>
      <c r="J204" t="inlineStr">
        <is>
          <t>No</t>
        </is>
      </c>
      <c r="K204" s="9" t="n">
        <v>43927</v>
      </c>
      <c r="L204" s="10" t="n">
        <v>0.2916666666666667</v>
      </c>
      <c r="M204" s="10" t="n">
        <v>0.75</v>
      </c>
      <c r="N204">
        <f>IFERROR(VLOOKUP(UPPER(D204),Suburb_LGA_Map!$A:$B,2,FALSE),"")</f>
        <v/>
      </c>
      <c r="O204" s="3" t="n">
        <v>1</v>
      </c>
      <c r="P204">
        <f>IF(K204="",0,IF(K204&gt;=DATE(2021,1,1),1,0))</f>
        <v/>
      </c>
      <c r="Q204">
        <f>IF(L204="",0,IF(L204&lt;TIME(7,0,0),1,0))</f>
        <v/>
      </c>
      <c r="R204">
        <f>IF(M204="",0,IF(M204&gt;TIME(18,0,0),1,0))</f>
        <v/>
      </c>
      <c r="S204">
        <f>IF(AND(H204="Yes",O204=1,COUNTIFS($C$2:C204,C204,$N$2:N204,N204,$H$2:H204,"Yes",$O$2:O204,1)=1),1,0)</f>
        <v/>
      </c>
      <c r="T204">
        <f>SUMIFS($F$2:$F$294,$C$2:$C$294,C204,$N$2:$N$294,N204,$H$2:$H$294,"Yes",$O$2:$O$294,1)</f>
        <v/>
      </c>
    </row>
    <row r="205">
      <c r="A205" t="inlineStr">
        <is>
          <t>SE-00011994</t>
        </is>
      </c>
      <c r="B205" t="inlineStr">
        <is>
          <t>Abbotsleigh Junior School TheirCare</t>
        </is>
      </c>
      <c r="C205" t="inlineStr">
        <is>
          <t>TheirCare Pty Ltd</t>
        </is>
      </c>
      <c r="D205" t="inlineStr">
        <is>
          <t>WAHROONGA</t>
        </is>
      </c>
      <c r="E205" t="inlineStr">
        <is>
          <t>2076</t>
        </is>
      </c>
      <c r="F205" t="n">
        <v>47</v>
      </c>
      <c r="G205" t="inlineStr">
        <is>
          <t>Meeting NQS</t>
        </is>
      </c>
      <c r="H205" t="inlineStr">
        <is>
          <t>No</t>
        </is>
      </c>
      <c r="I205" t="inlineStr">
        <is>
          <t>No</t>
        </is>
      </c>
      <c r="J205" t="inlineStr">
        <is>
          <t>Yes</t>
        </is>
      </c>
      <c r="K205" s="9" t="n">
        <v>41138</v>
      </c>
      <c r="L205" s="10" t="n"/>
      <c r="M205" s="10" t="n"/>
      <c r="N205">
        <f>IFERROR(VLOOKUP(UPPER(D205),Suburb_LGA_Map!$A:$B,2,FALSE),"")</f>
        <v/>
      </c>
      <c r="O205" s="3" t="n">
        <v>1</v>
      </c>
      <c r="P205">
        <f>IF(K205="",0,IF(K205&gt;=DATE(2021,1,1),1,0))</f>
        <v/>
      </c>
      <c r="Q205">
        <f>IF(L205="",0,IF(L205&lt;TIME(7,0,0),1,0))</f>
        <v/>
      </c>
      <c r="R205">
        <f>IF(M205="",0,IF(M205&gt;TIME(18,0,0),1,0))</f>
        <v/>
      </c>
      <c r="S205">
        <f>IF(AND(H205="Yes",O205=1,COUNTIFS($C$2:C205,C205,$N$2:N205,N205,$H$2:H205,"Yes",$O$2:O205,1)=1),1,0)</f>
        <v/>
      </c>
      <c r="T205">
        <f>SUMIFS($F$2:$F$294,$C$2:$C$294,C205,$N$2:$N$294,N205,$H$2:$H$294,"Yes",$O$2:$O$294,1)</f>
        <v/>
      </c>
    </row>
    <row r="206">
      <c r="A206" t="inlineStr">
        <is>
          <t>SE-00012051</t>
        </is>
      </c>
      <c r="B206" t="inlineStr">
        <is>
          <t>Highfields CommunityOSH</t>
        </is>
      </c>
      <c r="C206" t="inlineStr">
        <is>
          <t>COMMUNITYOSH PTY LTD</t>
        </is>
      </c>
      <c r="D206" t="inlineStr">
        <is>
          <t>LINDFIELD</t>
        </is>
      </c>
      <c r="E206" t="inlineStr">
        <is>
          <t>2070</t>
        </is>
      </c>
      <c r="F206" t="n">
        <v>41</v>
      </c>
      <c r="G206" t="inlineStr">
        <is>
          <t>Meeting NQS</t>
        </is>
      </c>
      <c r="H206" t="inlineStr">
        <is>
          <t>No</t>
        </is>
      </c>
      <c r="I206" t="inlineStr">
        <is>
          <t>No</t>
        </is>
      </c>
      <c r="J206" t="inlineStr">
        <is>
          <t>Yes</t>
        </is>
      </c>
      <c r="K206" s="9" t="n">
        <v>41306</v>
      </c>
      <c r="L206" s="10" t="n"/>
      <c r="M206" s="10" t="n"/>
      <c r="N206">
        <f>IFERROR(VLOOKUP(UPPER(D206),Suburb_LGA_Map!$A:$B,2,FALSE),"")</f>
        <v/>
      </c>
      <c r="O206" s="3" t="n">
        <v>1</v>
      </c>
      <c r="P206">
        <f>IF(K206="",0,IF(K206&gt;=DATE(2021,1,1),1,0))</f>
        <v/>
      </c>
      <c r="Q206">
        <f>IF(L206="",0,IF(L206&lt;TIME(7,0,0),1,0))</f>
        <v/>
      </c>
      <c r="R206">
        <f>IF(M206="",0,IF(M206&gt;TIME(18,0,0),1,0))</f>
        <v/>
      </c>
      <c r="S206">
        <f>IF(AND(H206="Yes",O206=1,COUNTIFS($C$2:C206,C206,$N$2:N206,N206,$H$2:H206,"Yes",$O$2:O206,1)=1),1,0)</f>
        <v/>
      </c>
      <c r="T206">
        <f>SUMIFS($F$2:$F$294,$C$2:$C$294,C206,$N$2:$N$294,N206,$H$2:$H$294,"Yes",$O$2:$O$294,1)</f>
        <v/>
      </c>
    </row>
    <row r="207">
      <c r="A207" t="inlineStr">
        <is>
          <t>SE-00012054</t>
        </is>
      </c>
      <c r="B207" t="inlineStr">
        <is>
          <t>Ravenswood School TheirCare</t>
        </is>
      </c>
      <c r="C207" t="inlineStr">
        <is>
          <t>TheirCare Pty Ltd</t>
        </is>
      </c>
      <c r="D207" t="inlineStr">
        <is>
          <t>GORDON</t>
        </is>
      </c>
      <c r="E207" t="inlineStr">
        <is>
          <t>2072</t>
        </is>
      </c>
      <c r="F207" t="n">
        <v>65</v>
      </c>
      <c r="G207" t="inlineStr">
        <is>
          <t>Meeting NQS</t>
        </is>
      </c>
      <c r="H207" t="inlineStr">
        <is>
          <t>No</t>
        </is>
      </c>
      <c r="I207" t="inlineStr">
        <is>
          <t>No</t>
        </is>
      </c>
      <c r="J207" t="inlineStr">
        <is>
          <t>Yes</t>
        </is>
      </c>
      <c r="K207" s="9" t="n">
        <v>41221</v>
      </c>
      <c r="L207" s="10" t="n"/>
      <c r="M207" s="10" t="n"/>
      <c r="N207">
        <f>IFERROR(VLOOKUP(UPPER(D207),Suburb_LGA_Map!$A:$B,2,FALSE),"")</f>
        <v/>
      </c>
      <c r="O207" s="3" t="n">
        <v>1</v>
      </c>
      <c r="P207">
        <f>IF(K207="",0,IF(K207&gt;=DATE(2021,1,1),1,0))</f>
        <v/>
      </c>
      <c r="Q207">
        <f>IF(L207="",0,IF(L207&lt;TIME(7,0,0),1,0))</f>
        <v/>
      </c>
      <c r="R207">
        <f>IF(M207="",0,IF(M207&gt;TIME(18,0,0),1,0))</f>
        <v/>
      </c>
      <c r="S207">
        <f>IF(AND(H207="Yes",O207=1,COUNTIFS($C$2:C207,C207,$N$2:N207,N207,$H$2:H207,"Yes",$O$2:O207,1)=1),1,0)</f>
        <v/>
      </c>
      <c r="T207">
        <f>SUMIFS($F$2:$F$294,$C$2:$C$294,C207,$N$2:$N$294,N207,$H$2:$H$294,"Yes",$O$2:$O$294,1)</f>
        <v/>
      </c>
    </row>
    <row r="208">
      <c r="A208" t="inlineStr">
        <is>
          <t>SE-40006799</t>
        </is>
      </c>
      <c r="B208" t="inlineStr">
        <is>
          <t>Little Wallabies Early Learning Centre</t>
        </is>
      </c>
      <c r="C208" t="inlineStr">
        <is>
          <t>Little Wallabies Early Learning Centre Pty Ltd</t>
        </is>
      </c>
      <c r="D208" t="inlineStr">
        <is>
          <t>TURRAMURRA</t>
        </is>
      </c>
      <c r="E208" t="inlineStr">
        <is>
          <t>2074</t>
        </is>
      </c>
      <c r="F208" t="n">
        <v>52</v>
      </c>
      <c r="G208" t="inlineStr">
        <is>
          <t>Meeting NQS</t>
        </is>
      </c>
      <c r="H208" t="inlineStr">
        <is>
          <t>Yes</t>
        </is>
      </c>
      <c r="I208" t="inlineStr">
        <is>
          <t>No</t>
        </is>
      </c>
      <c r="J208" t="inlineStr">
        <is>
          <t>No</t>
        </is>
      </c>
      <c r="K208" s="9" t="n">
        <v>42597</v>
      </c>
      <c r="L208" s="10" t="n">
        <v>0.2916666666666667</v>
      </c>
      <c r="M208" s="10" t="n">
        <v>0.75</v>
      </c>
      <c r="N208">
        <f>IFERROR(VLOOKUP(UPPER(D208),Suburb_LGA_Map!$A:$B,2,FALSE),"")</f>
        <v/>
      </c>
      <c r="O208" s="3" t="n">
        <v>1</v>
      </c>
      <c r="P208">
        <f>IF(K208="",0,IF(K208&gt;=DATE(2021,1,1),1,0))</f>
        <v/>
      </c>
      <c r="Q208">
        <f>IF(L208="",0,IF(L208&lt;TIME(7,0,0),1,0))</f>
        <v/>
      </c>
      <c r="R208">
        <f>IF(M208="",0,IF(M208&gt;TIME(18,0,0),1,0))</f>
        <v/>
      </c>
      <c r="S208">
        <f>IF(AND(H208="Yes",O208=1,COUNTIFS($C$2:C208,C208,$N$2:N208,N208,$H$2:H208,"Yes",$O$2:O208,1)=1),1,0)</f>
        <v/>
      </c>
      <c r="T208">
        <f>SUMIFS($F$2:$F$294,$C$2:$C$294,C208,$N$2:$N$294,N208,$H$2:$H$294,"Yes",$O$2:$O$294,1)</f>
        <v/>
      </c>
    </row>
    <row r="209">
      <c r="A209" t="inlineStr">
        <is>
          <t>SE-40007178</t>
        </is>
      </c>
      <c r="B209" t="inlineStr">
        <is>
          <t>Academy For Early Learners</t>
        </is>
      </c>
      <c r="C209" t="inlineStr"/>
      <c r="D209" t="inlineStr">
        <is>
          <t>WEST PYMBLE</t>
        </is>
      </c>
      <c r="E209" t="inlineStr">
        <is>
          <t>2073</t>
        </is>
      </c>
      <c r="F209" t="n">
        <v>40</v>
      </c>
      <c r="G209" t="inlineStr">
        <is>
          <t>Meeting NQS</t>
        </is>
      </c>
      <c r="H209" t="inlineStr">
        <is>
          <t>Yes</t>
        </is>
      </c>
      <c r="I209" t="inlineStr">
        <is>
          <t>No</t>
        </is>
      </c>
      <c r="J209" t="inlineStr">
        <is>
          <t>No</t>
        </is>
      </c>
      <c r="K209" s="9" t="n">
        <v>42710</v>
      </c>
      <c r="L209" s="10" t="n">
        <v>0.2708333333333333</v>
      </c>
      <c r="M209" s="10" t="n">
        <v>0.7708333333333334</v>
      </c>
      <c r="N209">
        <f>IFERROR(VLOOKUP(UPPER(D209),Suburb_LGA_Map!$A:$B,2,FALSE),"")</f>
        <v/>
      </c>
      <c r="O209" s="3" t="n">
        <v>1</v>
      </c>
      <c r="P209">
        <f>IF(K209="",0,IF(K209&gt;=DATE(2021,1,1),1,0))</f>
        <v/>
      </c>
      <c r="Q209">
        <f>IF(L209="",0,IF(L209&lt;TIME(7,0,0),1,0))</f>
        <v/>
      </c>
      <c r="R209">
        <f>IF(M209="",0,IF(M209&gt;TIME(18,0,0),1,0))</f>
        <v/>
      </c>
      <c r="S209">
        <f>IF(AND(H209="Yes",O209=1,COUNTIFS($C$2:C209,C209,$N$2:N209,N209,$H$2:H209,"Yes",$O$2:O209,1)=1),1,0)</f>
        <v/>
      </c>
      <c r="T209">
        <f>SUMIFS($F$2:$F$294,$C$2:$C$294,C209,$N$2:$N$294,N209,$H$2:$H$294,"Yes",$O$2:$O$294,1)</f>
        <v/>
      </c>
    </row>
    <row r="210">
      <c r="A210" t="inlineStr">
        <is>
          <t>SE-40025566</t>
        </is>
      </c>
      <c r="B210" t="inlineStr">
        <is>
          <t>Lavender Bay Preschool</t>
        </is>
      </c>
      <c r="C210" t="inlineStr">
        <is>
          <t>DALB Holdings PTY LTD</t>
        </is>
      </c>
      <c r="D210" t="inlineStr">
        <is>
          <t>LAVENDER BAY</t>
        </is>
      </c>
      <c r="E210" t="inlineStr">
        <is>
          <t>2060</t>
        </is>
      </c>
      <c r="F210" t="n">
        <v>33</v>
      </c>
      <c r="G210" t="inlineStr">
        <is>
          <t>Meeting NQS</t>
        </is>
      </c>
      <c r="H210" t="inlineStr">
        <is>
          <t>Yes</t>
        </is>
      </c>
      <c r="I210" t="inlineStr">
        <is>
          <t>No</t>
        </is>
      </c>
      <c r="J210" t="inlineStr">
        <is>
          <t>No</t>
        </is>
      </c>
      <c r="K210" s="9" t="n">
        <v>44988</v>
      </c>
      <c r="L210" s="10" t="n">
        <v>0.3333333333333333</v>
      </c>
      <c r="M210" s="10" t="n">
        <v>0.75</v>
      </c>
      <c r="N210">
        <f>IFERROR(VLOOKUP(UPPER(D210),Suburb_LGA_Map!$A:$B,2,FALSE),"")</f>
        <v/>
      </c>
      <c r="O210" s="3" t="n">
        <v>1</v>
      </c>
      <c r="P210">
        <f>IF(K210="",0,IF(K210&gt;=DATE(2021,1,1),1,0))</f>
        <v/>
      </c>
      <c r="Q210">
        <f>IF(L210="",0,IF(L210&lt;TIME(7,0,0),1,0))</f>
        <v/>
      </c>
      <c r="R210">
        <f>IF(M210="",0,IF(M210&gt;TIME(18,0,0),1,0))</f>
        <v/>
      </c>
      <c r="S210">
        <f>IF(AND(H210="Yes",O210=1,COUNTIFS($C$2:C210,C210,$N$2:N210,N210,$H$2:H210,"Yes",$O$2:O210,1)=1),1,0)</f>
        <v/>
      </c>
      <c r="T210">
        <f>SUMIFS($F$2:$F$294,$C$2:$C$294,C210,$N$2:$N$294,N210,$H$2:$H$294,"Yes",$O$2:$O$294,1)</f>
        <v/>
      </c>
    </row>
    <row r="211">
      <c r="A211" t="inlineStr">
        <is>
          <t>SE-00007277</t>
        </is>
      </c>
      <c r="B211" t="inlineStr">
        <is>
          <t>Fit Kidz Learning Centre - Turramurra</t>
        </is>
      </c>
      <c r="C211" t="inlineStr">
        <is>
          <t>Fit Kidz Services Pty Ltd</t>
        </is>
      </c>
      <c r="D211" t="inlineStr">
        <is>
          <t>TURRAMURRA</t>
        </is>
      </c>
      <c r="E211" t="inlineStr">
        <is>
          <t>2074</t>
        </is>
      </c>
      <c r="F211" t="n">
        <v>54</v>
      </c>
      <c r="G211" t="inlineStr">
        <is>
          <t>Meeting NQS</t>
        </is>
      </c>
      <c r="H211" t="inlineStr">
        <is>
          <t>Yes</t>
        </is>
      </c>
      <c r="I211" t="inlineStr">
        <is>
          <t>No</t>
        </is>
      </c>
      <c r="J211" t="inlineStr">
        <is>
          <t>No</t>
        </is>
      </c>
      <c r="K211" s="9" t="n">
        <v>39896</v>
      </c>
      <c r="L211" s="10" t="n">
        <v>0.3125</v>
      </c>
      <c r="M211" s="10" t="n">
        <v>0.75</v>
      </c>
      <c r="N211">
        <f>IFERROR(VLOOKUP(UPPER(D211),Suburb_LGA_Map!$A:$B,2,FALSE),"")</f>
        <v/>
      </c>
      <c r="O211" s="3" t="n">
        <v>1</v>
      </c>
      <c r="P211">
        <f>IF(K211="",0,IF(K211&gt;=DATE(2021,1,1),1,0))</f>
        <v/>
      </c>
      <c r="Q211">
        <f>IF(L211="",0,IF(L211&lt;TIME(7,0,0),1,0))</f>
        <v/>
      </c>
      <c r="R211">
        <f>IF(M211="",0,IF(M211&gt;TIME(18,0,0),1,0))</f>
        <v/>
      </c>
      <c r="S211">
        <f>IF(AND(H211="Yes",O211=1,COUNTIFS($C$2:C211,C211,$N$2:N211,N211,$H$2:H211,"Yes",$O$2:O211,1)=1),1,0)</f>
        <v/>
      </c>
      <c r="T211">
        <f>SUMIFS($F$2:$F$294,$C$2:$C$294,C211,$N$2:$N$294,N211,$H$2:$H$294,"Yes",$O$2:$O$294,1)</f>
        <v/>
      </c>
    </row>
    <row r="212">
      <c r="A212" t="inlineStr">
        <is>
          <t>SE-00007306</t>
        </is>
      </c>
      <c r="B212" t="inlineStr">
        <is>
          <t>Uniting Frederick Street Preschool Rockdale</t>
        </is>
      </c>
      <c r="C212" t="inlineStr">
        <is>
          <t>The Uniting Church In Australia Property Trust (NSW)</t>
        </is>
      </c>
      <c r="D212" t="inlineStr">
        <is>
          <t>ROCKDALE</t>
        </is>
      </c>
      <c r="E212" t="inlineStr">
        <is>
          <t>2216</t>
        </is>
      </c>
      <c r="F212" t="n">
        <v>42</v>
      </c>
      <c r="G212" t="inlineStr">
        <is>
          <t>Exceeding NQS</t>
        </is>
      </c>
      <c r="H212" t="inlineStr">
        <is>
          <t>No</t>
        </is>
      </c>
      <c r="I212" t="inlineStr">
        <is>
          <t>Yes</t>
        </is>
      </c>
      <c r="J212" t="inlineStr">
        <is>
          <t>No</t>
        </is>
      </c>
      <c r="K212" s="9" t="n">
        <v>39880</v>
      </c>
      <c r="L212" s="10" t="n">
        <v>0.3541666666666667</v>
      </c>
      <c r="M212" s="10" t="n">
        <v>0.6666666666666666</v>
      </c>
      <c r="N212">
        <f>IFERROR(VLOOKUP(UPPER(D212),Suburb_LGA_Map!$A:$B,2,FALSE),"")</f>
        <v/>
      </c>
      <c r="O212" s="3" t="n">
        <v>1</v>
      </c>
      <c r="P212">
        <f>IF(K212="",0,IF(K212&gt;=DATE(2021,1,1),1,0))</f>
        <v/>
      </c>
      <c r="Q212">
        <f>IF(L212="",0,IF(L212&lt;TIME(7,0,0),1,0))</f>
        <v/>
      </c>
      <c r="R212">
        <f>IF(M212="",0,IF(M212&gt;TIME(18,0,0),1,0))</f>
        <v/>
      </c>
      <c r="S212">
        <f>IF(AND(H212="Yes",O212=1,COUNTIFS($C$2:C212,C212,$N$2:N212,N212,$H$2:H212,"Yes",$O$2:O212,1)=1),1,0)</f>
        <v/>
      </c>
      <c r="T212">
        <f>SUMIFS($F$2:$F$294,$C$2:$C$294,C212,$N$2:$N$294,N212,$H$2:$H$294,"Yes",$O$2:$O$294,1)</f>
        <v/>
      </c>
    </row>
    <row r="213">
      <c r="A213" t="inlineStr">
        <is>
          <t>SE-00007316</t>
        </is>
      </c>
      <c r="B213" t="inlineStr">
        <is>
          <t>Only About Children Neutral Bay</t>
        </is>
      </c>
      <c r="C213" t="inlineStr">
        <is>
          <t>Only About Children Pty Ltd</t>
        </is>
      </c>
      <c r="D213" t="inlineStr">
        <is>
          <t>NEUTRAL BAY</t>
        </is>
      </c>
      <c r="E213" t="inlineStr">
        <is>
          <t>2089</t>
        </is>
      </c>
      <c r="F213" t="n">
        <v>88</v>
      </c>
      <c r="G213" t="inlineStr">
        <is>
          <t>Meeting NQS</t>
        </is>
      </c>
      <c r="H213" t="inlineStr">
        <is>
          <t>Yes</t>
        </is>
      </c>
      <c r="I213" t="inlineStr">
        <is>
          <t>No</t>
        </is>
      </c>
      <c r="J213" t="inlineStr">
        <is>
          <t>No</t>
        </is>
      </c>
      <c r="K213" s="9" t="n">
        <v>40224</v>
      </c>
      <c r="L213" s="10" t="n">
        <v>0.2916666666666667</v>
      </c>
      <c r="M213" s="10" t="n">
        <v>0.75</v>
      </c>
      <c r="N213">
        <f>IFERROR(VLOOKUP(UPPER(D213),Suburb_LGA_Map!$A:$B,2,FALSE),"")</f>
        <v/>
      </c>
      <c r="O213" s="3" t="n">
        <v>1</v>
      </c>
      <c r="P213">
        <f>IF(K213="",0,IF(K213&gt;=DATE(2021,1,1),1,0))</f>
        <v/>
      </c>
      <c r="Q213">
        <f>IF(L213="",0,IF(L213&lt;TIME(7,0,0),1,0))</f>
        <v/>
      </c>
      <c r="R213">
        <f>IF(M213="",0,IF(M213&gt;TIME(18,0,0),1,0))</f>
        <v/>
      </c>
      <c r="S213">
        <f>IF(AND(H213="Yes",O213=1,COUNTIFS($C$2:C213,C213,$N$2:N213,N213,$H$2:H213,"Yes",$O$2:O213,1)=1),1,0)</f>
        <v/>
      </c>
      <c r="T213">
        <f>SUMIFS($F$2:$F$294,$C$2:$C$294,C213,$N$2:$N$294,N213,$H$2:$H$294,"Yes",$O$2:$O$294,1)</f>
        <v/>
      </c>
    </row>
    <row r="214">
      <c r="A214" t="inlineStr">
        <is>
          <t>SE-00007341</t>
        </is>
      </c>
      <c r="B214" t="inlineStr">
        <is>
          <t>Antara Childcare &amp; Preschool Bexley</t>
        </is>
      </c>
      <c r="C214" t="inlineStr">
        <is>
          <t>ANTARA BEXLEY PTY LTD</t>
        </is>
      </c>
      <c r="D214" t="inlineStr">
        <is>
          <t>BEXLEY</t>
        </is>
      </c>
      <c r="E214" t="inlineStr">
        <is>
          <t>2207</t>
        </is>
      </c>
      <c r="F214" t="n">
        <v>39</v>
      </c>
      <c r="G214" t="inlineStr">
        <is>
          <t>Exceeding NQS</t>
        </is>
      </c>
      <c r="H214" t="inlineStr">
        <is>
          <t>Yes</t>
        </is>
      </c>
      <c r="I214" t="inlineStr">
        <is>
          <t>No</t>
        </is>
      </c>
      <c r="J214" t="inlineStr">
        <is>
          <t>No</t>
        </is>
      </c>
      <c r="K214" s="9" t="n">
        <v>40237</v>
      </c>
      <c r="L214" s="10" t="n">
        <v>0.2916666666666667</v>
      </c>
      <c r="M214" s="10" t="n">
        <v>0.75</v>
      </c>
      <c r="N214">
        <f>IFERROR(VLOOKUP(UPPER(D214),Suburb_LGA_Map!$A:$B,2,FALSE),"")</f>
        <v/>
      </c>
      <c r="O214" s="3" t="n">
        <v>1</v>
      </c>
      <c r="P214">
        <f>IF(K214="",0,IF(K214&gt;=DATE(2021,1,1),1,0))</f>
        <v/>
      </c>
      <c r="Q214">
        <f>IF(L214="",0,IF(L214&lt;TIME(7,0,0),1,0))</f>
        <v/>
      </c>
      <c r="R214">
        <f>IF(M214="",0,IF(M214&gt;TIME(18,0,0),1,0))</f>
        <v/>
      </c>
      <c r="S214">
        <f>IF(AND(H214="Yes",O214=1,COUNTIFS($C$2:C214,C214,$N$2:N214,N214,$H$2:H214,"Yes",$O$2:O214,1)=1),1,0)</f>
        <v/>
      </c>
      <c r="T214">
        <f>SUMIFS($F$2:$F$294,$C$2:$C$294,C214,$N$2:$N$294,N214,$H$2:$H$294,"Yes",$O$2:$O$294,1)</f>
        <v/>
      </c>
    </row>
    <row r="215">
      <c r="A215" t="inlineStr">
        <is>
          <t>SE-40002261</t>
        </is>
      </c>
      <c r="B215" t="inlineStr">
        <is>
          <t>Lead Early Learning Centre St Ives</t>
        </is>
      </c>
      <c r="C215" t="inlineStr">
        <is>
          <t>LEAD EARLY LEARNING CENTRES PTY LTD</t>
        </is>
      </c>
      <c r="D215" t="inlineStr">
        <is>
          <t>ST IVES</t>
        </is>
      </c>
      <c r="E215" t="inlineStr">
        <is>
          <t>2075</t>
        </is>
      </c>
      <c r="F215" t="n">
        <v>76</v>
      </c>
      <c r="G215" t="inlineStr">
        <is>
          <t>Exceeding NQS</t>
        </is>
      </c>
      <c r="H215" t="inlineStr">
        <is>
          <t>Yes</t>
        </is>
      </c>
      <c r="I215" t="inlineStr">
        <is>
          <t>No</t>
        </is>
      </c>
      <c r="J215" t="inlineStr">
        <is>
          <t>Yes</t>
        </is>
      </c>
      <c r="K215" s="9" t="n">
        <v>41848</v>
      </c>
      <c r="L215" s="10" t="n">
        <v>0.2916666666666667</v>
      </c>
      <c r="M215" s="10" t="n">
        <v>0.75</v>
      </c>
      <c r="N215">
        <f>IFERROR(VLOOKUP(UPPER(D215),Suburb_LGA_Map!$A:$B,2,FALSE),"")</f>
        <v/>
      </c>
      <c r="O215" s="3" t="n">
        <v>1</v>
      </c>
      <c r="P215">
        <f>IF(K215="",0,IF(K215&gt;=DATE(2021,1,1),1,0))</f>
        <v/>
      </c>
      <c r="Q215">
        <f>IF(L215="",0,IF(L215&lt;TIME(7,0,0),1,0))</f>
        <v/>
      </c>
      <c r="R215">
        <f>IF(M215="",0,IF(M215&gt;TIME(18,0,0),1,0))</f>
        <v/>
      </c>
      <c r="S215">
        <f>IF(AND(H215="Yes",O215=1,COUNTIFS($C$2:C215,C215,$N$2:N215,N215,$H$2:H215,"Yes",$O$2:O215,1)=1),1,0)</f>
        <v/>
      </c>
      <c r="T215">
        <f>SUMIFS($F$2:$F$294,$C$2:$C$294,C215,$N$2:$N$294,N215,$H$2:$H$294,"Yes",$O$2:$O$294,1)</f>
        <v/>
      </c>
    </row>
    <row r="216">
      <c r="A216" t="inlineStr">
        <is>
          <t>SE-40002675</t>
        </is>
      </c>
      <c r="B216" t="inlineStr">
        <is>
          <t>Handprints Early Learning Centre</t>
        </is>
      </c>
      <c r="C216" t="inlineStr">
        <is>
          <t>Handprints ELC Pty Ltd</t>
        </is>
      </c>
      <c r="D216" t="inlineStr">
        <is>
          <t>ST IVES</t>
        </is>
      </c>
      <c r="E216" t="inlineStr">
        <is>
          <t>2075</t>
        </is>
      </c>
      <c r="F216" t="n">
        <v>30</v>
      </c>
      <c r="G216" t="inlineStr">
        <is>
          <t>Exceeding NQS</t>
        </is>
      </c>
      <c r="H216" t="inlineStr">
        <is>
          <t>Yes</t>
        </is>
      </c>
      <c r="I216" t="inlineStr">
        <is>
          <t>No</t>
        </is>
      </c>
      <c r="J216" t="inlineStr">
        <is>
          <t>No</t>
        </is>
      </c>
      <c r="K216" s="9" t="n">
        <v>41950</v>
      </c>
      <c r="L216" s="10" t="n">
        <v>0.2916666666666667</v>
      </c>
      <c r="M216" s="10" t="n">
        <v>0.75</v>
      </c>
      <c r="N216">
        <f>IFERROR(VLOOKUP(UPPER(D216),Suburb_LGA_Map!$A:$B,2,FALSE),"")</f>
        <v/>
      </c>
      <c r="O216" s="3" t="n">
        <v>1</v>
      </c>
      <c r="P216">
        <f>IF(K216="",0,IF(K216&gt;=DATE(2021,1,1),1,0))</f>
        <v/>
      </c>
      <c r="Q216">
        <f>IF(L216="",0,IF(L216&lt;TIME(7,0,0),1,0))</f>
        <v/>
      </c>
      <c r="R216">
        <f>IF(M216="",0,IF(M216&gt;TIME(18,0,0),1,0))</f>
        <v/>
      </c>
      <c r="S216">
        <f>IF(AND(H216="Yes",O216=1,COUNTIFS($C$2:C216,C216,$N$2:N216,N216,$H$2:H216,"Yes",$O$2:O216,1)=1),1,0)</f>
        <v/>
      </c>
      <c r="T216">
        <f>SUMIFS($F$2:$F$294,$C$2:$C$294,C216,$N$2:$N$294,N216,$H$2:$H$294,"Yes",$O$2:$O$294,1)</f>
        <v/>
      </c>
    </row>
    <row r="217">
      <c r="A217" t="inlineStr">
        <is>
          <t>SE-00006215</t>
        </is>
      </c>
      <c r="B217" t="inlineStr">
        <is>
          <t>A Bright Beginning Australia {ABBA} Early Learning Centre</t>
        </is>
      </c>
      <c r="C217" t="inlineStr">
        <is>
          <t>Crows Nest Kindergarten Pty Ltd</t>
        </is>
      </c>
      <c r="D217" t="inlineStr">
        <is>
          <t>ROSEVILLE</t>
        </is>
      </c>
      <c r="E217" t="inlineStr">
        <is>
          <t>2069</t>
        </is>
      </c>
      <c r="F217" t="n">
        <v>24</v>
      </c>
      <c r="G217" t="inlineStr">
        <is>
          <t>Meeting NQS</t>
        </is>
      </c>
      <c r="H217" t="inlineStr">
        <is>
          <t>Yes</t>
        </is>
      </c>
      <c r="I217" t="inlineStr">
        <is>
          <t>No</t>
        </is>
      </c>
      <c r="J217" t="inlineStr">
        <is>
          <t>No</t>
        </is>
      </c>
      <c r="K217" s="9" t="n">
        <v>39965</v>
      </c>
      <c r="L217" s="10" t="n">
        <v>0.3333333333333333</v>
      </c>
      <c r="M217" s="10" t="n">
        <v>0.7291666666666666</v>
      </c>
      <c r="N217">
        <f>IFERROR(VLOOKUP(UPPER(D217),Suburb_LGA_Map!$A:$B,2,FALSE),"")</f>
        <v/>
      </c>
      <c r="O217" s="3" t="n">
        <v>1</v>
      </c>
      <c r="P217">
        <f>IF(K217="",0,IF(K217&gt;=DATE(2021,1,1),1,0))</f>
        <v/>
      </c>
      <c r="Q217">
        <f>IF(L217="",0,IF(L217&lt;TIME(7,0,0),1,0))</f>
        <v/>
      </c>
      <c r="R217">
        <f>IF(M217="",0,IF(M217&gt;TIME(18,0,0),1,0))</f>
        <v/>
      </c>
      <c r="S217">
        <f>IF(AND(H217="Yes",O217=1,COUNTIFS($C$2:C217,C217,$N$2:N217,N217,$H$2:H217,"Yes",$O$2:O217,1)=1),1,0)</f>
        <v/>
      </c>
      <c r="T217">
        <f>SUMIFS($F$2:$F$294,$C$2:$C$294,C217,$N$2:$N$294,N217,$H$2:$H$294,"Yes",$O$2:$O$294,1)</f>
        <v/>
      </c>
    </row>
    <row r="218">
      <c r="A218" t="inlineStr">
        <is>
          <t>SE-00006229</t>
        </is>
      </c>
      <c r="B218" t="inlineStr">
        <is>
          <t>Goodstart Early Learning North Sydney - Berry Street</t>
        </is>
      </c>
      <c r="C218" t="inlineStr">
        <is>
          <t>Goodstart Early Learning Ltd</t>
        </is>
      </c>
      <c r="D218" t="inlineStr">
        <is>
          <t>NORTH SYDNEY</t>
        </is>
      </c>
      <c r="E218" t="inlineStr">
        <is>
          <t>2060</t>
        </is>
      </c>
      <c r="F218" t="n">
        <v>88</v>
      </c>
      <c r="G218" t="inlineStr">
        <is>
          <t>Meeting NQS</t>
        </is>
      </c>
      <c r="H218" t="inlineStr">
        <is>
          <t>Yes</t>
        </is>
      </c>
      <c r="I218" t="inlineStr">
        <is>
          <t>No</t>
        </is>
      </c>
      <c r="J218" t="inlineStr">
        <is>
          <t>No</t>
        </is>
      </c>
      <c r="K218" s="9" t="n">
        <v>39862</v>
      </c>
      <c r="L218" s="10" t="n">
        <v>0.3125</v>
      </c>
      <c r="M218" s="10" t="n">
        <v>0.75</v>
      </c>
      <c r="N218">
        <f>IFERROR(VLOOKUP(UPPER(D218),Suburb_LGA_Map!$A:$B,2,FALSE),"")</f>
        <v/>
      </c>
      <c r="O218" s="3" t="n">
        <v>1</v>
      </c>
      <c r="P218">
        <f>IF(K218="",0,IF(K218&gt;=DATE(2021,1,1),1,0))</f>
        <v/>
      </c>
      <c r="Q218">
        <f>IF(L218="",0,IF(L218&lt;TIME(7,0,0),1,0))</f>
        <v/>
      </c>
      <c r="R218">
        <f>IF(M218="",0,IF(M218&gt;TIME(18,0,0),1,0))</f>
        <v/>
      </c>
      <c r="S218">
        <f>IF(AND(H218="Yes",O218=1,COUNTIFS($C$2:C218,C218,$N$2:N218,N218,$H$2:H218,"Yes",$O$2:O218,1)=1),1,0)</f>
        <v/>
      </c>
      <c r="T218">
        <f>SUMIFS($F$2:$F$294,$C$2:$C$294,C218,$N$2:$N$294,N218,$H$2:$H$294,"Yes",$O$2:$O$294,1)</f>
        <v/>
      </c>
    </row>
    <row r="219">
      <c r="A219" t="inlineStr">
        <is>
          <t>SE-40021747</t>
        </is>
      </c>
      <c r="B219" t="inlineStr">
        <is>
          <t>Little Angels at Mascot Central</t>
        </is>
      </c>
      <c r="C219" t="inlineStr">
        <is>
          <t>Young Men's Christian Association of Sydney</t>
        </is>
      </c>
      <c r="D219" t="inlineStr">
        <is>
          <t>MASCOT</t>
        </is>
      </c>
      <c r="E219" t="inlineStr">
        <is>
          <t>2020</t>
        </is>
      </c>
      <c r="F219" t="n">
        <v>68</v>
      </c>
      <c r="G219" t="inlineStr">
        <is>
          <t>Meeting NQS</t>
        </is>
      </c>
      <c r="H219" t="inlineStr">
        <is>
          <t>Yes</t>
        </is>
      </c>
      <c r="I219" t="inlineStr">
        <is>
          <t>No</t>
        </is>
      </c>
      <c r="J219" t="inlineStr">
        <is>
          <t>No</t>
        </is>
      </c>
      <c r="K219" s="9" t="n">
        <v>44516</v>
      </c>
      <c r="L219" s="10" t="n">
        <v>0.2916666666666667</v>
      </c>
      <c r="M219" s="10" t="n">
        <v>0.75</v>
      </c>
      <c r="N219">
        <f>IFERROR(VLOOKUP(UPPER(D219),Suburb_LGA_Map!$A:$B,2,FALSE),"")</f>
        <v/>
      </c>
      <c r="O219" s="3" t="n">
        <v>1</v>
      </c>
      <c r="P219">
        <f>IF(K219="",0,IF(K219&gt;=DATE(2021,1,1),1,0))</f>
        <v/>
      </c>
      <c r="Q219">
        <f>IF(L219="",0,IF(L219&lt;TIME(7,0,0),1,0))</f>
        <v/>
      </c>
      <c r="R219">
        <f>IF(M219="",0,IF(M219&gt;TIME(18,0,0),1,0))</f>
        <v/>
      </c>
      <c r="S219">
        <f>IF(AND(H219="Yes",O219=1,COUNTIFS($C$2:C219,C219,$N$2:N219,N219,$H$2:H219,"Yes",$O$2:O219,1)=1),1,0)</f>
        <v/>
      </c>
      <c r="T219">
        <f>SUMIFS($F$2:$F$294,$C$2:$C$294,C219,$N$2:$N$294,N219,$H$2:$H$294,"Yes",$O$2:$O$294,1)</f>
        <v/>
      </c>
    </row>
    <row r="220">
      <c r="A220" t="inlineStr">
        <is>
          <t>SE-40021760</t>
        </is>
      </c>
      <c r="B220" t="inlineStr">
        <is>
          <t>Little Lions Mascot</t>
        </is>
      </c>
      <c r="C220" t="inlineStr">
        <is>
          <t>LITTLE LION EARLY LEARNING PTY LTD</t>
        </is>
      </c>
      <c r="D220" t="inlineStr">
        <is>
          <t>MASCOT</t>
        </is>
      </c>
      <c r="E220" t="inlineStr">
        <is>
          <t>2020</t>
        </is>
      </c>
      <c r="F220" t="n">
        <v>74</v>
      </c>
      <c r="G220" t="inlineStr">
        <is>
          <t>Meeting NQS</t>
        </is>
      </c>
      <c r="H220" t="inlineStr">
        <is>
          <t>Yes</t>
        </is>
      </c>
      <c r="I220" t="inlineStr">
        <is>
          <t>No</t>
        </is>
      </c>
      <c r="J220" t="inlineStr">
        <is>
          <t>No</t>
        </is>
      </c>
      <c r="K220" s="9" t="n">
        <v>44540</v>
      </c>
      <c r="L220" s="10" t="n">
        <v>0.2916666666666667</v>
      </c>
      <c r="M220" s="10" t="n">
        <v>0.75</v>
      </c>
      <c r="N220">
        <f>IFERROR(VLOOKUP(UPPER(D220),Suburb_LGA_Map!$A:$B,2,FALSE),"")</f>
        <v/>
      </c>
      <c r="O220" s="3" t="n">
        <v>1</v>
      </c>
      <c r="P220">
        <f>IF(K220="",0,IF(K220&gt;=DATE(2021,1,1),1,0))</f>
        <v/>
      </c>
      <c r="Q220">
        <f>IF(L220="",0,IF(L220&lt;TIME(7,0,0),1,0))</f>
        <v/>
      </c>
      <c r="R220">
        <f>IF(M220="",0,IF(M220&gt;TIME(18,0,0),1,0))</f>
        <v/>
      </c>
      <c r="S220">
        <f>IF(AND(H220="Yes",O220=1,COUNTIFS($C$2:C220,C220,$N$2:N220,N220,$H$2:H220,"Yes",$O$2:O220,1)=1),1,0)</f>
        <v/>
      </c>
      <c r="T220">
        <f>SUMIFS($F$2:$F$294,$C$2:$C$294,C220,$N$2:$N$294,N220,$H$2:$H$294,"Yes",$O$2:$O$294,1)</f>
        <v/>
      </c>
    </row>
    <row r="221">
      <c r="A221" t="inlineStr">
        <is>
          <t>SE-40012723</t>
        </is>
      </c>
      <c r="B221" t="inlineStr">
        <is>
          <t>Billy Kids - Pymble Early Learning Centre</t>
        </is>
      </c>
      <c r="C221" t="inlineStr">
        <is>
          <t>BILLY KIDS PYMBLE PTY LIMITED ATF BILLY KIDS PYMBLE UNIT TRUST</t>
        </is>
      </c>
      <c r="D221" t="inlineStr">
        <is>
          <t>PYMBLE</t>
        </is>
      </c>
      <c r="E221" t="inlineStr">
        <is>
          <t>2073</t>
        </is>
      </c>
      <c r="F221" t="n">
        <v>64</v>
      </c>
      <c r="G221" t="inlineStr">
        <is>
          <t>Exceeding NQS</t>
        </is>
      </c>
      <c r="H221" t="inlineStr">
        <is>
          <t>Yes</t>
        </is>
      </c>
      <c r="I221" t="inlineStr">
        <is>
          <t>No</t>
        </is>
      </c>
      <c r="J221" t="inlineStr">
        <is>
          <t>No</t>
        </is>
      </c>
      <c r="K221" s="9" t="n">
        <v>43271</v>
      </c>
      <c r="L221" s="10" t="n">
        <v>0.3125</v>
      </c>
      <c r="M221" s="10" t="n">
        <v>0.75</v>
      </c>
      <c r="N221">
        <f>IFERROR(VLOOKUP(UPPER(D221),Suburb_LGA_Map!$A:$B,2,FALSE),"")</f>
        <v/>
      </c>
      <c r="O221" s="3" t="n">
        <v>1</v>
      </c>
      <c r="P221">
        <f>IF(K221="",0,IF(K221&gt;=DATE(2021,1,1),1,0))</f>
        <v/>
      </c>
      <c r="Q221">
        <f>IF(L221="",0,IF(L221&lt;TIME(7,0,0),1,0))</f>
        <v/>
      </c>
      <c r="R221">
        <f>IF(M221="",0,IF(M221&gt;TIME(18,0,0),1,0))</f>
        <v/>
      </c>
      <c r="S221">
        <f>IF(AND(H221="Yes",O221=1,COUNTIFS($C$2:C221,C221,$N$2:N221,N221,$H$2:H221,"Yes",$O$2:O221,1)=1),1,0)</f>
        <v/>
      </c>
      <c r="T221">
        <f>SUMIFS($F$2:$F$294,$C$2:$C$294,C221,$N$2:$N$294,N221,$H$2:$H$294,"Yes",$O$2:$O$294,1)</f>
        <v/>
      </c>
    </row>
    <row r="222">
      <c r="A222" t="inlineStr">
        <is>
          <t>SE-40012833</t>
        </is>
      </c>
      <c r="B222" t="inlineStr">
        <is>
          <t>Senses ELC Milsons Point</t>
        </is>
      </c>
      <c r="C222" t="inlineStr">
        <is>
          <t>Senses Childcare PTY Limited</t>
        </is>
      </c>
      <c r="D222" t="inlineStr">
        <is>
          <t>MILSONS POINT</t>
        </is>
      </c>
      <c r="E222" t="inlineStr">
        <is>
          <t>2061</t>
        </is>
      </c>
      <c r="F222" t="n">
        <v>94</v>
      </c>
      <c r="G222" t="inlineStr">
        <is>
          <t>Exceeding NQS</t>
        </is>
      </c>
      <c r="H222" t="inlineStr">
        <is>
          <t>Yes</t>
        </is>
      </c>
      <c r="I222" t="inlineStr">
        <is>
          <t>No</t>
        </is>
      </c>
      <c r="J222" t="inlineStr">
        <is>
          <t>No</t>
        </is>
      </c>
      <c r="K222" s="9" t="n">
        <v>43285</v>
      </c>
      <c r="L222" s="10" t="n">
        <v>0.3125</v>
      </c>
      <c r="M222" s="10" t="n">
        <v>0.75</v>
      </c>
      <c r="N222">
        <f>IFERROR(VLOOKUP(UPPER(D222),Suburb_LGA_Map!$A:$B,2,FALSE),"")</f>
        <v/>
      </c>
      <c r="O222" s="3" t="n">
        <v>1</v>
      </c>
      <c r="P222">
        <f>IF(K222="",0,IF(K222&gt;=DATE(2021,1,1),1,0))</f>
        <v/>
      </c>
      <c r="Q222">
        <f>IF(L222="",0,IF(L222&lt;TIME(7,0,0),1,0))</f>
        <v/>
      </c>
      <c r="R222">
        <f>IF(M222="",0,IF(M222&gt;TIME(18,0,0),1,0))</f>
        <v/>
      </c>
      <c r="S222">
        <f>IF(AND(H222="Yes",O222=1,COUNTIFS($C$2:C222,C222,$N$2:N222,N222,$H$2:H222,"Yes",$O$2:O222,1)=1),1,0)</f>
        <v/>
      </c>
      <c r="T222">
        <f>SUMIFS($F$2:$F$294,$C$2:$C$294,C222,$N$2:$N$294,N222,$H$2:$H$294,"Yes",$O$2:$O$294,1)</f>
        <v/>
      </c>
    </row>
    <row r="223">
      <c r="A223" t="inlineStr">
        <is>
          <t>SE-00008348</t>
        </is>
      </c>
      <c r="B223" t="inlineStr">
        <is>
          <t>Mascot Early Education and Care Centre</t>
        </is>
      </c>
      <c r="C223" t="inlineStr">
        <is>
          <t>Bayside Council</t>
        </is>
      </c>
      <c r="D223" t="inlineStr">
        <is>
          <t>MASCOT</t>
        </is>
      </c>
      <c r="E223" t="inlineStr">
        <is>
          <t>2020</t>
        </is>
      </c>
      <c r="F223" t="n">
        <v>78</v>
      </c>
      <c r="G223" t="inlineStr">
        <is>
          <t>Exceeding NQS</t>
        </is>
      </c>
      <c r="H223" t="inlineStr">
        <is>
          <t>Yes</t>
        </is>
      </c>
      <c r="I223" t="inlineStr">
        <is>
          <t>No</t>
        </is>
      </c>
      <c r="J223" t="inlineStr">
        <is>
          <t>No</t>
        </is>
      </c>
      <c r="K223" s="9" t="n">
        <v>39580</v>
      </c>
      <c r="L223" s="10" t="n">
        <v>0.3125</v>
      </c>
      <c r="M223" s="10" t="n">
        <v>0.75</v>
      </c>
      <c r="N223">
        <f>IFERROR(VLOOKUP(UPPER(D223),Suburb_LGA_Map!$A:$B,2,FALSE),"")</f>
        <v/>
      </c>
      <c r="O223" s="3" t="n">
        <v>1</v>
      </c>
      <c r="P223">
        <f>IF(K223="",0,IF(K223&gt;=DATE(2021,1,1),1,0))</f>
        <v/>
      </c>
      <c r="Q223">
        <f>IF(L223="",0,IF(L223&lt;TIME(7,0,0),1,0))</f>
        <v/>
      </c>
      <c r="R223">
        <f>IF(M223="",0,IF(M223&gt;TIME(18,0,0),1,0))</f>
        <v/>
      </c>
      <c r="S223">
        <f>IF(AND(H223="Yes",O223=1,COUNTIFS($C$2:C223,C223,$N$2:N223,N223,$H$2:H223,"Yes",$O$2:O223,1)=1),1,0)</f>
        <v/>
      </c>
      <c r="T223">
        <f>SUMIFS($F$2:$F$294,$C$2:$C$294,C223,$N$2:$N$294,N223,$H$2:$H$294,"Yes",$O$2:$O$294,1)</f>
        <v/>
      </c>
    </row>
    <row r="224">
      <c r="A224" t="inlineStr">
        <is>
          <t>SE-00008349</t>
        </is>
      </c>
      <c r="B224" t="inlineStr">
        <is>
          <t>Mascot Public School Preschool</t>
        </is>
      </c>
      <c r="C224" t="inlineStr">
        <is>
          <t>Department of Education</t>
        </is>
      </c>
      <c r="D224" t="inlineStr">
        <is>
          <t>MASCOT</t>
        </is>
      </c>
      <c r="E224" t="inlineStr">
        <is>
          <t>2020</t>
        </is>
      </c>
      <c r="F224" t="n">
        <v>40</v>
      </c>
      <c r="G224" t="inlineStr">
        <is>
          <t>Meeting NQS</t>
        </is>
      </c>
      <c r="H224" t="inlineStr">
        <is>
          <t>No</t>
        </is>
      </c>
      <c r="I224" t="inlineStr">
        <is>
          <t>No</t>
        </is>
      </c>
      <c r="J224" t="inlineStr">
        <is>
          <t>No</t>
        </is>
      </c>
      <c r="K224" s="9" t="n">
        <v>40457</v>
      </c>
      <c r="L224" s="10" t="n">
        <v>0.375</v>
      </c>
      <c r="M224" s="10" t="n">
        <v>0.625</v>
      </c>
      <c r="N224">
        <f>IFERROR(VLOOKUP(UPPER(D224),Suburb_LGA_Map!$A:$B,2,FALSE),"")</f>
        <v/>
      </c>
      <c r="O224" s="3" t="n">
        <v>1</v>
      </c>
      <c r="P224">
        <f>IF(K224="",0,IF(K224&gt;=DATE(2021,1,1),1,0))</f>
        <v/>
      </c>
      <c r="Q224">
        <f>IF(L224="",0,IF(L224&lt;TIME(7,0,0),1,0))</f>
        <v/>
      </c>
      <c r="R224">
        <f>IF(M224="",0,IF(M224&gt;TIME(18,0,0),1,0))</f>
        <v/>
      </c>
      <c r="S224">
        <f>IF(AND(H224="Yes",O224=1,COUNTIFS($C$2:C224,C224,$N$2:N224,N224,$H$2:H224,"Yes",$O$2:O224,1)=1),1,0)</f>
        <v/>
      </c>
      <c r="T224">
        <f>SUMIFS($F$2:$F$294,$C$2:$C$294,C224,$N$2:$N$294,N224,$H$2:$H$294,"Yes",$O$2:$O$294,1)</f>
        <v/>
      </c>
    </row>
    <row r="225">
      <c r="A225" t="inlineStr">
        <is>
          <t>SE-00008362</t>
        </is>
      </c>
      <c r="B225" t="inlineStr">
        <is>
          <t>McMahons Point Community Preschool and Early Learning Centre</t>
        </is>
      </c>
      <c r="C225" t="inlineStr">
        <is>
          <t>McMahons Point Occasional Child Care Centre Inc</t>
        </is>
      </c>
      <c r="D225" t="inlineStr">
        <is>
          <t>MCMAHONS POINT</t>
        </is>
      </c>
      <c r="E225" t="inlineStr">
        <is>
          <t>2060</t>
        </is>
      </c>
      <c r="F225" t="n">
        <v>24</v>
      </c>
      <c r="G225" t="inlineStr">
        <is>
          <t>Meeting NQS</t>
        </is>
      </c>
      <c r="H225" t="inlineStr">
        <is>
          <t>Yes</t>
        </is>
      </c>
      <c r="I225" t="inlineStr">
        <is>
          <t>No</t>
        </is>
      </c>
      <c r="J225" t="inlineStr">
        <is>
          <t>No</t>
        </is>
      </c>
      <c r="K225" s="9" t="n">
        <v>39625</v>
      </c>
      <c r="L225" s="10" t="n">
        <v>0.3333333333333333</v>
      </c>
      <c r="M225" s="10" t="n">
        <v>0.6666666666666666</v>
      </c>
      <c r="N225">
        <f>IFERROR(VLOOKUP(UPPER(D225),Suburb_LGA_Map!$A:$B,2,FALSE),"")</f>
        <v/>
      </c>
      <c r="O225" s="3" t="n">
        <v>1</v>
      </c>
      <c r="P225">
        <f>IF(K225="",0,IF(K225&gt;=DATE(2021,1,1),1,0))</f>
        <v/>
      </c>
      <c r="Q225">
        <f>IF(L225="",0,IF(L225&lt;TIME(7,0,0),1,0))</f>
        <v/>
      </c>
      <c r="R225">
        <f>IF(M225="",0,IF(M225&gt;TIME(18,0,0),1,0))</f>
        <v/>
      </c>
      <c r="S225">
        <f>IF(AND(H225="Yes",O225=1,COUNTIFS($C$2:C225,C225,$N$2:N225,N225,$H$2:H225,"Yes",$O$2:O225,1)=1),1,0)</f>
        <v/>
      </c>
      <c r="T225">
        <f>SUMIFS($F$2:$F$294,$C$2:$C$294,C225,$N$2:$N$294,N225,$H$2:$H$294,"Yes",$O$2:$O$294,1)</f>
        <v/>
      </c>
    </row>
    <row r="226">
      <c r="A226" t="inlineStr">
        <is>
          <t>SE-00008406</t>
        </is>
      </c>
      <c r="B226" t="inlineStr">
        <is>
          <t>Miracles on Russell</t>
        </is>
      </c>
      <c r="C226" t="inlineStr">
        <is>
          <t>C &amp; I CHRISTIE PTY LTD</t>
        </is>
      </c>
      <c r="D226" t="inlineStr">
        <is>
          <t>SANS SOUCI</t>
        </is>
      </c>
      <c r="E226" t="inlineStr">
        <is>
          <t>2219</t>
        </is>
      </c>
      <c r="F226" t="n">
        <v>37</v>
      </c>
      <c r="G226" t="inlineStr">
        <is>
          <t>Meeting NQS</t>
        </is>
      </c>
      <c r="H226" t="inlineStr">
        <is>
          <t>Yes</t>
        </is>
      </c>
      <c r="I226" t="inlineStr">
        <is>
          <t>No</t>
        </is>
      </c>
      <c r="J226" t="inlineStr">
        <is>
          <t>No</t>
        </is>
      </c>
      <c r="K226" s="9" t="n">
        <v>40245</v>
      </c>
      <c r="L226" s="10" t="n">
        <v>0.3125</v>
      </c>
      <c r="M226" s="10" t="n">
        <v>0.75</v>
      </c>
      <c r="N226">
        <f>IFERROR(VLOOKUP(UPPER(D226),Suburb_LGA_Map!$A:$B,2,FALSE),"")</f>
        <v/>
      </c>
      <c r="O226" s="3" t="n">
        <v>1</v>
      </c>
      <c r="P226">
        <f>IF(K226="",0,IF(K226&gt;=DATE(2021,1,1),1,0))</f>
        <v/>
      </c>
      <c r="Q226">
        <f>IF(L226="",0,IF(L226&lt;TIME(7,0,0),1,0))</f>
        <v/>
      </c>
      <c r="R226">
        <f>IF(M226="",0,IF(M226&gt;TIME(18,0,0),1,0))</f>
        <v/>
      </c>
      <c r="S226">
        <f>IF(AND(H226="Yes",O226=1,COUNTIFS($C$2:C226,C226,$N$2:N226,N226,$H$2:H226,"Yes",$O$2:O226,1)=1),1,0)</f>
        <v/>
      </c>
      <c r="T226">
        <f>SUMIFS($F$2:$F$294,$C$2:$C$294,C226,$N$2:$N$294,N226,$H$2:$H$294,"Yes",$O$2:$O$294,1)</f>
        <v/>
      </c>
    </row>
    <row r="227">
      <c r="A227" t="inlineStr">
        <is>
          <t>SE-00017197</t>
        </is>
      </c>
      <c r="B227" t="inlineStr">
        <is>
          <t>Kool HQ Reddam House North Shore OSHC</t>
        </is>
      </c>
      <c r="C227" t="inlineStr">
        <is>
          <t>KOOL KIDZZ PTY LTD</t>
        </is>
      </c>
      <c r="D227" t="inlineStr">
        <is>
          <t>NORTH SYDNEY</t>
        </is>
      </c>
      <c r="E227" t="inlineStr">
        <is>
          <t>2060</t>
        </is>
      </c>
      <c r="F227" t="n">
        <v>50</v>
      </c>
      <c r="G227" t="inlineStr">
        <is>
          <t>Meeting NQS</t>
        </is>
      </c>
      <c r="H227" t="inlineStr">
        <is>
          <t>No</t>
        </is>
      </c>
      <c r="I227" t="inlineStr">
        <is>
          <t>No</t>
        </is>
      </c>
      <c r="J227" t="inlineStr">
        <is>
          <t>Yes</t>
        </is>
      </c>
      <c r="K227" s="9" t="n">
        <v>45685</v>
      </c>
      <c r="L227" s="10" t="n"/>
      <c r="M227" s="10" t="n"/>
      <c r="N227">
        <f>IFERROR(VLOOKUP(UPPER(D227),Suburb_LGA_Map!$A:$B,2,FALSE),"")</f>
        <v/>
      </c>
      <c r="O227" s="3" t="n">
        <v>1</v>
      </c>
      <c r="P227">
        <f>IF(K227="",0,IF(K227&gt;=DATE(2021,1,1),1,0))</f>
        <v/>
      </c>
      <c r="Q227">
        <f>IF(L227="",0,IF(L227&lt;TIME(7,0,0),1,0))</f>
        <v/>
      </c>
      <c r="R227">
        <f>IF(M227="",0,IF(M227&gt;TIME(18,0,0),1,0))</f>
        <v/>
      </c>
      <c r="S227">
        <f>IF(AND(H227="Yes",O227=1,COUNTIFS($C$2:C227,C227,$N$2:N227,N227,$H$2:H227,"Yes",$O$2:O227,1)=1),1,0)</f>
        <v/>
      </c>
      <c r="T227">
        <f>SUMIFS($F$2:$F$294,$C$2:$C$294,C227,$N$2:$N$294,N227,$H$2:$H$294,"Yes",$O$2:$O$294,1)</f>
        <v/>
      </c>
    </row>
    <row r="228">
      <c r="A228" t="inlineStr">
        <is>
          <t>SE-00013391</t>
        </is>
      </c>
      <c r="B228" t="inlineStr">
        <is>
          <t>TeamKids - Gordon West Public School</t>
        </is>
      </c>
      <c r="C228" t="inlineStr">
        <is>
          <t>TEAM HOLIDAY PTY LTD</t>
        </is>
      </c>
      <c r="D228" t="inlineStr">
        <is>
          <t>PYMBLE</t>
        </is>
      </c>
      <c r="E228" t="inlineStr">
        <is>
          <t>2073</t>
        </is>
      </c>
      <c r="F228" t="n">
        <v>100</v>
      </c>
      <c r="G228" t="inlineStr">
        <is>
          <t>Meeting NQS</t>
        </is>
      </c>
      <c r="H228" t="inlineStr">
        <is>
          <t>No</t>
        </is>
      </c>
      <c r="I228" t="inlineStr">
        <is>
          <t>No</t>
        </is>
      </c>
      <c r="J228" t="inlineStr">
        <is>
          <t>Yes</t>
        </is>
      </c>
      <c r="K228" s="9" t="n">
        <v>41474</v>
      </c>
      <c r="L228" s="10" t="n"/>
      <c r="M228" s="10" t="n"/>
      <c r="N228">
        <f>IFERROR(VLOOKUP(UPPER(D228),Suburb_LGA_Map!$A:$B,2,FALSE),"")</f>
        <v/>
      </c>
      <c r="O228" s="3" t="n">
        <v>1</v>
      </c>
      <c r="P228">
        <f>IF(K228="",0,IF(K228&gt;=DATE(2021,1,1),1,0))</f>
        <v/>
      </c>
      <c r="Q228">
        <f>IF(L228="",0,IF(L228&lt;TIME(7,0,0),1,0))</f>
        <v/>
      </c>
      <c r="R228">
        <f>IF(M228="",0,IF(M228&gt;TIME(18,0,0),1,0))</f>
        <v/>
      </c>
      <c r="S228">
        <f>IF(AND(H228="Yes",O228=1,COUNTIFS($C$2:C228,C228,$N$2:N228,N228,$H$2:H228,"Yes",$O$2:O228,1)=1),1,0)</f>
        <v/>
      </c>
      <c r="T228">
        <f>SUMIFS($F$2:$F$294,$C$2:$C$294,C228,$N$2:$N$294,N228,$H$2:$H$294,"Yes",$O$2:$O$294,1)</f>
        <v/>
      </c>
    </row>
    <row r="229">
      <c r="A229" t="inlineStr">
        <is>
          <t>SE-00013400</t>
        </is>
      </c>
      <c r="B229" t="inlineStr">
        <is>
          <t>Sans Souci OOSH Centre Inc.</t>
        </is>
      </c>
      <c r="C229" t="inlineStr">
        <is>
          <t>Sans Souci OOSH Centre Inc.</t>
        </is>
      </c>
      <c r="D229" t="inlineStr">
        <is>
          <t>SANS SOUCI</t>
        </is>
      </c>
      <c r="E229" t="inlineStr">
        <is>
          <t>2219</t>
        </is>
      </c>
      <c r="F229" t="n">
        <v>105</v>
      </c>
      <c r="G229" t="inlineStr">
        <is>
          <t>Meeting NQS</t>
        </is>
      </c>
      <c r="H229" t="inlineStr">
        <is>
          <t>No</t>
        </is>
      </c>
      <c r="I229" t="inlineStr">
        <is>
          <t>No</t>
        </is>
      </c>
      <c r="J229" t="inlineStr">
        <is>
          <t>Yes</t>
        </is>
      </c>
      <c r="K229" s="9" t="n">
        <v>41438</v>
      </c>
      <c r="L229" s="10" t="n"/>
      <c r="M229" s="10" t="n"/>
      <c r="N229">
        <f>IFERROR(VLOOKUP(UPPER(D229),Suburb_LGA_Map!$A:$B,2,FALSE),"")</f>
        <v/>
      </c>
      <c r="O229" s="3" t="n">
        <v>1</v>
      </c>
      <c r="P229">
        <f>IF(K229="",0,IF(K229&gt;=DATE(2021,1,1),1,0))</f>
        <v/>
      </c>
      <c r="Q229">
        <f>IF(L229="",0,IF(L229&lt;TIME(7,0,0),1,0))</f>
        <v/>
      </c>
      <c r="R229">
        <f>IF(M229="",0,IF(M229&gt;TIME(18,0,0),1,0))</f>
        <v/>
      </c>
      <c r="S229">
        <f>IF(AND(H229="Yes",O229=1,COUNTIFS($C$2:C229,C229,$N$2:N229,N229,$H$2:H229,"Yes",$O$2:O229,1)=1),1,0)</f>
        <v/>
      </c>
      <c r="T229">
        <f>SUMIFS($F$2:$F$294,$C$2:$C$294,C229,$N$2:$N$294,N229,$H$2:$H$294,"Yes",$O$2:$O$294,1)</f>
        <v/>
      </c>
    </row>
    <row r="230">
      <c r="A230" t="inlineStr">
        <is>
          <t>SE-00013461</t>
        </is>
      </c>
      <c r="B230" t="inlineStr">
        <is>
          <t>Ramsgate Out of School Hours Care Centre Inc</t>
        </is>
      </c>
      <c r="C230" t="inlineStr">
        <is>
          <t>Ramsgate Out of School Hours Centre Incorporated</t>
        </is>
      </c>
      <c r="D230" t="inlineStr">
        <is>
          <t>RAMSGATE</t>
        </is>
      </c>
      <c r="E230" t="inlineStr">
        <is>
          <t>2217</t>
        </is>
      </c>
      <c r="F230" t="n">
        <v>120</v>
      </c>
      <c r="G230" t="inlineStr">
        <is>
          <t>Meeting NQS</t>
        </is>
      </c>
      <c r="H230" t="inlineStr">
        <is>
          <t>No</t>
        </is>
      </c>
      <c r="I230" t="inlineStr">
        <is>
          <t>No</t>
        </is>
      </c>
      <c r="J230" t="inlineStr">
        <is>
          <t>Yes</t>
        </is>
      </c>
      <c r="K230" s="9" t="n">
        <v>41457</v>
      </c>
      <c r="L230" s="10" t="n"/>
      <c r="M230" s="10" t="n"/>
      <c r="N230">
        <f>IFERROR(VLOOKUP(UPPER(D230),Suburb_LGA_Map!$A:$B,2,FALSE),"")</f>
        <v/>
      </c>
      <c r="O230" s="3" t="n">
        <v>1</v>
      </c>
      <c r="P230">
        <f>IF(K230="",0,IF(K230&gt;=DATE(2021,1,1),1,0))</f>
        <v/>
      </c>
      <c r="Q230">
        <f>IF(L230="",0,IF(L230&lt;TIME(7,0,0),1,0))</f>
        <v/>
      </c>
      <c r="R230">
        <f>IF(M230="",0,IF(M230&gt;TIME(18,0,0),1,0))</f>
        <v/>
      </c>
      <c r="S230">
        <f>IF(AND(H230="Yes",O230=1,COUNTIFS($C$2:C230,C230,$N$2:N230,N230,$H$2:H230,"Yes",$O$2:O230,1)=1),1,0)</f>
        <v/>
      </c>
      <c r="T230">
        <f>SUMIFS($F$2:$F$294,$C$2:$C$294,C230,$N$2:$N$294,N230,$H$2:$H$294,"Yes",$O$2:$O$294,1)</f>
        <v/>
      </c>
    </row>
    <row r="231">
      <c r="A231" t="inlineStr">
        <is>
          <t>SE-00011668</t>
        </is>
      </c>
      <c r="B231" t="inlineStr">
        <is>
          <t>Beaumont Road OSHClub</t>
        </is>
      </c>
      <c r="C231" t="inlineStr">
        <is>
          <t>OSHCLUB PTY LTD</t>
        </is>
      </c>
      <c r="D231" t="inlineStr">
        <is>
          <t>KILLARA</t>
        </is>
      </c>
      <c r="E231" t="inlineStr">
        <is>
          <t>2071</t>
        </is>
      </c>
      <c r="F231" t="n">
        <v>85</v>
      </c>
      <c r="G231" t="inlineStr">
        <is>
          <t>Meeting NQS</t>
        </is>
      </c>
      <c r="H231" t="inlineStr">
        <is>
          <t>No</t>
        </is>
      </c>
      <c r="I231" t="inlineStr">
        <is>
          <t>No</t>
        </is>
      </c>
      <c r="J231" t="inlineStr">
        <is>
          <t>Yes</t>
        </is>
      </c>
      <c r="K231" s="9" t="n">
        <v>41414</v>
      </c>
      <c r="L231" s="10" t="n"/>
      <c r="M231" s="10" t="n"/>
      <c r="N231">
        <f>IFERROR(VLOOKUP(UPPER(D231),Suburb_LGA_Map!$A:$B,2,FALSE),"")</f>
        <v/>
      </c>
      <c r="O231" s="3" t="n">
        <v>1</v>
      </c>
      <c r="P231">
        <f>IF(K231="",0,IF(K231&gt;=DATE(2021,1,1),1,0))</f>
        <v/>
      </c>
      <c r="Q231">
        <f>IF(L231="",0,IF(L231&lt;TIME(7,0,0),1,0))</f>
        <v/>
      </c>
      <c r="R231">
        <f>IF(M231="",0,IF(M231&gt;TIME(18,0,0),1,0))</f>
        <v/>
      </c>
      <c r="S231">
        <f>IF(AND(H231="Yes",O231=1,COUNTIFS($C$2:C231,C231,$N$2:N231,N231,$H$2:H231,"Yes",$O$2:O231,1)=1),1,0)</f>
        <v/>
      </c>
      <c r="T231">
        <f>SUMIFS($F$2:$F$294,$C$2:$C$294,C231,$N$2:$N$294,N231,$H$2:$H$294,"Yes",$O$2:$O$294,1)</f>
        <v/>
      </c>
    </row>
    <row r="232">
      <c r="A232" t="inlineStr">
        <is>
          <t>SE-00011673</t>
        </is>
      </c>
      <c r="B232" t="inlineStr">
        <is>
          <t>Gowrie NSW North Sydney Community Vacation Care</t>
        </is>
      </c>
      <c r="C232" t="inlineStr">
        <is>
          <t>Gowrie NSW</t>
        </is>
      </c>
      <c r="D232" t="inlineStr">
        <is>
          <t>NORTH SYDNEY</t>
        </is>
      </c>
      <c r="E232" t="inlineStr">
        <is>
          <t>2060</t>
        </is>
      </c>
      <c r="F232" t="n">
        <v>80</v>
      </c>
      <c r="G232" t="inlineStr">
        <is>
          <t>Exceeding NQS</t>
        </is>
      </c>
      <c r="H232" t="inlineStr">
        <is>
          <t>No</t>
        </is>
      </c>
      <c r="I232" t="inlineStr">
        <is>
          <t>No</t>
        </is>
      </c>
      <c r="J232" t="inlineStr">
        <is>
          <t>No</t>
        </is>
      </c>
      <c r="K232" s="9" t="n">
        <v>41124</v>
      </c>
      <c r="L232" s="10" t="n"/>
      <c r="M232" s="10" t="n"/>
      <c r="N232">
        <f>IFERROR(VLOOKUP(UPPER(D232),Suburb_LGA_Map!$A:$B,2,FALSE),"")</f>
        <v/>
      </c>
      <c r="O232" s="3" t="n">
        <v>1</v>
      </c>
      <c r="P232">
        <f>IF(K232="",0,IF(K232&gt;=DATE(2021,1,1),1,0))</f>
        <v/>
      </c>
      <c r="Q232">
        <f>IF(L232="",0,IF(L232&lt;TIME(7,0,0),1,0))</f>
        <v/>
      </c>
      <c r="R232">
        <f>IF(M232="",0,IF(M232&gt;TIME(18,0,0),1,0))</f>
        <v/>
      </c>
      <c r="S232">
        <f>IF(AND(H232="Yes",O232=1,COUNTIFS($C$2:C232,C232,$N$2:N232,N232,$H$2:H232,"Yes",$O$2:O232,1)=1),1,0)</f>
        <v/>
      </c>
      <c r="T232">
        <f>SUMIFS($F$2:$F$294,$C$2:$C$294,C232,$N$2:$N$294,N232,$H$2:$H$294,"Yes",$O$2:$O$294,1)</f>
        <v/>
      </c>
    </row>
    <row r="233">
      <c r="A233" t="inlineStr">
        <is>
          <t>SE-00007053</t>
        </is>
      </c>
      <c r="B233" t="inlineStr">
        <is>
          <t>Crows Nest Kindergarten</t>
        </is>
      </c>
      <c r="C233" t="inlineStr">
        <is>
          <t>Crows Nest Kindergarten Pty Ltd</t>
        </is>
      </c>
      <c r="D233" t="inlineStr">
        <is>
          <t>CROWS NEST</t>
        </is>
      </c>
      <c r="E233" t="inlineStr">
        <is>
          <t>2065</t>
        </is>
      </c>
      <c r="F233" t="n">
        <v>32</v>
      </c>
      <c r="G233" t="inlineStr">
        <is>
          <t>Meeting NQS</t>
        </is>
      </c>
      <c r="H233" t="inlineStr">
        <is>
          <t>Yes</t>
        </is>
      </c>
      <c r="I233" t="inlineStr">
        <is>
          <t>No</t>
        </is>
      </c>
      <c r="J233" t="inlineStr">
        <is>
          <t>No</t>
        </is>
      </c>
      <c r="K233" s="9" t="n">
        <v>39662</v>
      </c>
      <c r="L233" s="10" t="n">
        <v>0.3333333333333333</v>
      </c>
      <c r="M233" s="10" t="n">
        <v>0.7291666666666666</v>
      </c>
      <c r="N233">
        <f>IFERROR(VLOOKUP(UPPER(D233),Suburb_LGA_Map!$A:$B,2,FALSE),"")</f>
        <v/>
      </c>
      <c r="O233" s="3" t="n">
        <v>1</v>
      </c>
      <c r="P233">
        <f>IF(K233="",0,IF(K233&gt;=DATE(2021,1,1),1,0))</f>
        <v/>
      </c>
      <c r="Q233">
        <f>IF(L233="",0,IF(L233&lt;TIME(7,0,0),1,0))</f>
        <v/>
      </c>
      <c r="R233">
        <f>IF(M233="",0,IF(M233&gt;TIME(18,0,0),1,0))</f>
        <v/>
      </c>
      <c r="S233">
        <f>IF(AND(H233="Yes",O233=1,COUNTIFS($C$2:C233,C233,$N$2:N233,N233,$H$2:H233,"Yes",$O$2:O233,1)=1),1,0)</f>
        <v/>
      </c>
      <c r="T233">
        <f>SUMIFS($F$2:$F$294,$C$2:$C$294,C233,$N$2:$N$294,N233,$H$2:$H$294,"Yes",$O$2:$O$294,1)</f>
        <v/>
      </c>
    </row>
    <row r="234">
      <c r="A234" t="inlineStr">
        <is>
          <t>SE-40025190</t>
        </is>
      </c>
      <c r="B234" t="inlineStr">
        <is>
          <t>Kelvin Kindergarten Long Day Care &amp; Preschool St Ives</t>
        </is>
      </c>
      <c r="C234" t="inlineStr">
        <is>
          <t>WAO PTY LTD</t>
        </is>
      </c>
      <c r="D234" t="inlineStr">
        <is>
          <t>ST IVES</t>
        </is>
      </c>
      <c r="E234" t="inlineStr">
        <is>
          <t>2075</t>
        </is>
      </c>
      <c r="F234" t="n">
        <v>25</v>
      </c>
      <c r="G234" t="inlineStr">
        <is>
          <t>Meeting NQS</t>
        </is>
      </c>
      <c r="H234" t="inlineStr">
        <is>
          <t>Yes</t>
        </is>
      </c>
      <c r="I234" t="inlineStr">
        <is>
          <t>No</t>
        </is>
      </c>
      <c r="J234" t="inlineStr">
        <is>
          <t>No</t>
        </is>
      </c>
      <c r="K234" s="9" t="n">
        <v>45079</v>
      </c>
      <c r="L234" s="10" t="n">
        <v>0.3125</v>
      </c>
      <c r="M234" s="10" t="n">
        <v>0.75</v>
      </c>
      <c r="N234">
        <f>IFERROR(VLOOKUP(UPPER(D234),Suburb_LGA_Map!$A:$B,2,FALSE),"")</f>
        <v/>
      </c>
      <c r="O234" s="3" t="n">
        <v>1</v>
      </c>
      <c r="P234">
        <f>IF(K234="",0,IF(K234&gt;=DATE(2021,1,1),1,0))</f>
        <v/>
      </c>
      <c r="Q234">
        <f>IF(L234="",0,IF(L234&lt;TIME(7,0,0),1,0))</f>
        <v/>
      </c>
      <c r="R234">
        <f>IF(M234="",0,IF(M234&gt;TIME(18,0,0),1,0))</f>
        <v/>
      </c>
      <c r="S234">
        <f>IF(AND(H234="Yes",O234=1,COUNTIFS($C$2:C234,C234,$N$2:N234,N234,$H$2:H234,"Yes",$O$2:O234,1)=1),1,0)</f>
        <v/>
      </c>
      <c r="T234">
        <f>SUMIFS($F$2:$F$294,$C$2:$C$294,C234,$N$2:$N$294,N234,$H$2:$H$294,"Yes",$O$2:$O$294,1)</f>
        <v/>
      </c>
    </row>
    <row r="235">
      <c r="A235" t="inlineStr">
        <is>
          <t>SE-40016471</t>
        </is>
      </c>
      <c r="B235" t="inlineStr">
        <is>
          <t>Morning Star Christian Childcare Centre</t>
        </is>
      </c>
      <c r="C235" t="inlineStr">
        <is>
          <t>MORNING STAR EARLY LEARNING CENTRE PTY LTD</t>
        </is>
      </c>
      <c r="D235" t="inlineStr">
        <is>
          <t>ROSEBERY</t>
        </is>
      </c>
      <c r="E235" t="inlineStr">
        <is>
          <t>2018</t>
        </is>
      </c>
      <c r="F235" t="n">
        <v>30</v>
      </c>
      <c r="G235" t="inlineStr">
        <is>
          <t>Meeting NQS</t>
        </is>
      </c>
      <c r="H235" t="inlineStr">
        <is>
          <t>Yes</t>
        </is>
      </c>
      <c r="I235" t="inlineStr">
        <is>
          <t>No</t>
        </is>
      </c>
      <c r="J235" t="inlineStr">
        <is>
          <t>No</t>
        </is>
      </c>
      <c r="K235" s="9" t="n">
        <v>43913</v>
      </c>
      <c r="L235" s="10" t="n">
        <v>0.2708333333333333</v>
      </c>
      <c r="M235" s="10" t="n">
        <v>0.75</v>
      </c>
      <c r="N235">
        <f>IFERROR(VLOOKUP(UPPER(D235),Suburb_LGA_Map!$A:$B,2,FALSE),"")</f>
        <v/>
      </c>
      <c r="O235" s="3" t="n">
        <v>1</v>
      </c>
      <c r="P235">
        <f>IF(K235="",0,IF(K235&gt;=DATE(2021,1,1),1,0))</f>
        <v/>
      </c>
      <c r="Q235">
        <f>IF(L235="",0,IF(L235&lt;TIME(7,0,0),1,0))</f>
        <v/>
      </c>
      <c r="R235">
        <f>IF(M235="",0,IF(M235&gt;TIME(18,0,0),1,0))</f>
        <v/>
      </c>
      <c r="S235">
        <f>IF(AND(H235="Yes",O235=1,COUNTIFS($C$2:C235,C235,$N$2:N235,N235,$H$2:H235,"Yes",$O$2:O235,1)=1),1,0)</f>
        <v/>
      </c>
      <c r="T235">
        <f>SUMIFS($F$2:$F$294,$C$2:$C$294,C235,$N$2:$N$294,N235,$H$2:$H$294,"Yes",$O$2:$O$294,1)</f>
        <v/>
      </c>
    </row>
    <row r="236">
      <c r="A236" t="inlineStr">
        <is>
          <t>SE-00009270</t>
        </is>
      </c>
      <c r="B236" t="inlineStr">
        <is>
          <t>The Joey Club Sydney</t>
        </is>
      </c>
      <c r="C236" t="inlineStr">
        <is>
          <t>KU Children's Services</t>
        </is>
      </c>
      <c r="D236" t="inlineStr">
        <is>
          <t>MASCOT</t>
        </is>
      </c>
      <c r="E236" t="inlineStr">
        <is>
          <t>2020</t>
        </is>
      </c>
      <c r="F236" t="n">
        <v>73</v>
      </c>
      <c r="G236" t="inlineStr">
        <is>
          <t>Exceeding NQS</t>
        </is>
      </c>
      <c r="H236" t="inlineStr">
        <is>
          <t>Yes</t>
        </is>
      </c>
      <c r="I236" t="inlineStr">
        <is>
          <t>No</t>
        </is>
      </c>
      <c r="J236" t="inlineStr">
        <is>
          <t>No</t>
        </is>
      </c>
      <c r="K236" s="9" t="n">
        <v>39952</v>
      </c>
      <c r="L236" s="10" t="n">
        <v>0.2916666666666667</v>
      </c>
      <c r="M236" s="10" t="n">
        <v>0.78125</v>
      </c>
      <c r="N236">
        <f>IFERROR(VLOOKUP(UPPER(D236),Suburb_LGA_Map!$A:$B,2,FALSE),"")</f>
        <v/>
      </c>
      <c r="O236" s="3" t="n">
        <v>1</v>
      </c>
      <c r="P236">
        <f>IF(K236="",0,IF(K236&gt;=DATE(2021,1,1),1,0))</f>
        <v/>
      </c>
      <c r="Q236">
        <f>IF(L236="",0,IF(L236&lt;TIME(7,0,0),1,0))</f>
        <v/>
      </c>
      <c r="R236">
        <f>IF(M236="",0,IF(M236&gt;TIME(18,0,0),1,0))</f>
        <v/>
      </c>
      <c r="S236">
        <f>IF(AND(H236="Yes",O236=1,COUNTIFS($C$2:C236,C236,$N$2:N236,N236,$H$2:H236,"Yes",$O$2:O236,1)=1),1,0)</f>
        <v/>
      </c>
      <c r="T236">
        <f>SUMIFS($F$2:$F$294,$C$2:$C$294,C236,$N$2:$N$294,N236,$H$2:$H$294,"Yes",$O$2:$O$294,1)</f>
        <v/>
      </c>
    </row>
    <row r="237">
      <c r="A237" t="inlineStr">
        <is>
          <t>SE-00018469</t>
        </is>
      </c>
      <c r="B237" t="inlineStr">
        <is>
          <t>Kiddiwinks Play Laugh &amp; Learn St. Ives</t>
        </is>
      </c>
      <c r="C237" t="inlineStr">
        <is>
          <t>KIDDIWINKS WARRIEWOOD PTY LTD</t>
        </is>
      </c>
      <c r="D237" t="inlineStr">
        <is>
          <t>ST IVES</t>
        </is>
      </c>
      <c r="E237" t="inlineStr">
        <is>
          <t>2075</t>
        </is>
      </c>
      <c r="F237" t="n">
        <v>92</v>
      </c>
      <c r="G237" t="inlineStr"/>
      <c r="H237" t="inlineStr">
        <is>
          <t>Yes</t>
        </is>
      </c>
      <c r="I237" t="inlineStr">
        <is>
          <t>No</t>
        </is>
      </c>
      <c r="J237" t="inlineStr">
        <is>
          <t>No</t>
        </is>
      </c>
      <c r="K237" s="9" t="n">
        <v>46105</v>
      </c>
      <c r="L237" s="10" t="n">
        <v>0.2916666666666667</v>
      </c>
      <c r="M237" s="10" t="n">
        <v>0.75</v>
      </c>
      <c r="N237">
        <f>IFERROR(VLOOKUP(UPPER(D237),Suburb_LGA_Map!$A:$B,2,FALSE),"")</f>
        <v/>
      </c>
      <c r="O237" s="3" t="n">
        <v>1</v>
      </c>
      <c r="P237">
        <f>IF(K237="",0,IF(K237&gt;=DATE(2021,1,1),1,0))</f>
        <v/>
      </c>
      <c r="Q237">
        <f>IF(L237="",0,IF(L237&lt;TIME(7,0,0),1,0))</f>
        <v/>
      </c>
      <c r="R237">
        <f>IF(M237="",0,IF(M237&gt;TIME(18,0,0),1,0))</f>
        <v/>
      </c>
      <c r="S237">
        <f>IF(AND(H237="Yes",O237=1,COUNTIFS($C$2:C237,C237,$N$2:N237,N237,$H$2:H237,"Yes",$O$2:O237,1)=1),1,0)</f>
        <v/>
      </c>
      <c r="T237">
        <f>SUMIFS($F$2:$F$294,$C$2:$C$294,C237,$N$2:$N$294,N237,$H$2:$H$294,"Yes",$O$2:$O$294,1)</f>
        <v/>
      </c>
    </row>
    <row r="238">
      <c r="A238" t="inlineStr">
        <is>
          <t>SE-40010939</t>
        </is>
      </c>
      <c r="B238" t="inlineStr">
        <is>
          <t>The After School Klub Arncliffe</t>
        </is>
      </c>
      <c r="C238" t="inlineStr">
        <is>
          <t>The After School Klub Pty Ltd</t>
        </is>
      </c>
      <c r="D238" t="inlineStr">
        <is>
          <t>ARNCLIFFE</t>
        </is>
      </c>
      <c r="E238" t="inlineStr">
        <is>
          <t>2205</t>
        </is>
      </c>
      <c r="F238" t="n">
        <v>80</v>
      </c>
      <c r="G238" t="inlineStr">
        <is>
          <t>Meeting NQS</t>
        </is>
      </c>
      <c r="H238" t="inlineStr">
        <is>
          <t>No</t>
        </is>
      </c>
      <c r="I238" t="inlineStr">
        <is>
          <t>No</t>
        </is>
      </c>
      <c r="J238" t="inlineStr">
        <is>
          <t>Yes</t>
        </is>
      </c>
      <c r="K238" s="9" t="n">
        <v>43076</v>
      </c>
      <c r="L238" s="10" t="n"/>
      <c r="M238" s="10" t="n"/>
      <c r="N238">
        <f>IFERROR(VLOOKUP(UPPER(D238),Suburb_LGA_Map!$A:$B,2,FALSE),"")</f>
        <v/>
      </c>
      <c r="O238" s="3" t="n">
        <v>1</v>
      </c>
      <c r="P238">
        <f>IF(K238="",0,IF(K238&gt;=DATE(2021,1,1),1,0))</f>
        <v/>
      </c>
      <c r="Q238">
        <f>IF(L238="",0,IF(L238&lt;TIME(7,0,0),1,0))</f>
        <v/>
      </c>
      <c r="R238">
        <f>IF(M238="",0,IF(M238&gt;TIME(18,0,0),1,0))</f>
        <v/>
      </c>
      <c r="S238">
        <f>IF(AND(H238="Yes",O238=1,COUNTIFS($C$2:C238,C238,$N$2:N238,N238,$H$2:H238,"Yes",$O$2:O238,1)=1),1,0)</f>
        <v/>
      </c>
      <c r="T238">
        <f>SUMIFS($F$2:$F$294,$C$2:$C$294,C238,$N$2:$N$294,N238,$H$2:$H$294,"Yes",$O$2:$O$294,1)</f>
        <v/>
      </c>
    </row>
    <row r="239">
      <c r="A239" t="inlineStr">
        <is>
          <t>SE-40011193</t>
        </is>
      </c>
      <c r="B239" t="inlineStr">
        <is>
          <t>Papilio Early Learning Killara</t>
        </is>
      </c>
      <c r="C239" t="inlineStr">
        <is>
          <t>Affinity Education Group Pty Limited</t>
        </is>
      </c>
      <c r="D239" t="inlineStr">
        <is>
          <t>KILLARA</t>
        </is>
      </c>
      <c r="E239" t="inlineStr">
        <is>
          <t>2071</t>
        </is>
      </c>
      <c r="F239" t="n">
        <v>92</v>
      </c>
      <c r="G239" t="inlineStr">
        <is>
          <t>Meeting NQS</t>
        </is>
      </c>
      <c r="H239" t="inlineStr">
        <is>
          <t>Yes</t>
        </is>
      </c>
      <c r="I239" t="inlineStr">
        <is>
          <t>No</t>
        </is>
      </c>
      <c r="J239" t="inlineStr">
        <is>
          <t>No</t>
        </is>
      </c>
      <c r="K239" s="9" t="n">
        <v>43143</v>
      </c>
      <c r="L239" s="10" t="n">
        <v>0.2708333333333333</v>
      </c>
      <c r="M239" s="10" t="n">
        <v>0.75</v>
      </c>
      <c r="N239">
        <f>IFERROR(VLOOKUP(UPPER(D239),Suburb_LGA_Map!$A:$B,2,FALSE),"")</f>
        <v/>
      </c>
      <c r="O239" s="3" t="n">
        <v>1</v>
      </c>
      <c r="P239">
        <f>IF(K239="",0,IF(K239&gt;=DATE(2021,1,1),1,0))</f>
        <v/>
      </c>
      <c r="Q239">
        <f>IF(L239="",0,IF(L239&lt;TIME(7,0,0),1,0))</f>
        <v/>
      </c>
      <c r="R239">
        <f>IF(M239="",0,IF(M239&gt;TIME(18,0,0),1,0))</f>
        <v/>
      </c>
      <c r="S239">
        <f>IF(AND(H239="Yes",O239=1,COUNTIFS($C$2:C239,C239,$N$2:N239,N239,$H$2:H239,"Yes",$O$2:O239,1)=1),1,0)</f>
        <v/>
      </c>
      <c r="T239">
        <f>SUMIFS($F$2:$F$294,$C$2:$C$294,C239,$N$2:$N$294,N239,$H$2:$H$294,"Yes",$O$2:$O$294,1)</f>
        <v/>
      </c>
    </row>
    <row r="240">
      <c r="A240" t="inlineStr">
        <is>
          <t>SE-40011228</t>
        </is>
      </c>
      <c r="B240" t="inlineStr">
        <is>
          <t>SCECS OSHC Our Lady of Fatima Kingsgrove</t>
        </is>
      </c>
      <c r="C240" t="inlineStr">
        <is>
          <t>SYDNEY CATHOLIC EARLY CHILDHOOD SERVICES LTD</t>
        </is>
      </c>
      <c r="D240" t="inlineStr">
        <is>
          <t>KINGSGROVE</t>
        </is>
      </c>
      <c r="E240" t="inlineStr">
        <is>
          <t>2208</t>
        </is>
      </c>
      <c r="F240" t="n">
        <v>130</v>
      </c>
      <c r="G240" t="inlineStr">
        <is>
          <t>Meeting NQS</t>
        </is>
      </c>
      <c r="H240" t="inlineStr">
        <is>
          <t>No</t>
        </is>
      </c>
      <c r="I240" t="inlineStr">
        <is>
          <t>No</t>
        </is>
      </c>
      <c r="J240" t="inlineStr">
        <is>
          <t>Yes</t>
        </is>
      </c>
      <c r="K240" s="9" t="n">
        <v>43139</v>
      </c>
      <c r="L240" s="10" t="n"/>
      <c r="M240" s="10" t="n"/>
      <c r="N240">
        <f>IFERROR(VLOOKUP(UPPER(D240),Suburb_LGA_Map!$A:$B,2,FALSE),"")</f>
        <v/>
      </c>
      <c r="O240" s="3" t="n">
        <v>1</v>
      </c>
      <c r="P240">
        <f>IF(K240="",0,IF(K240&gt;=DATE(2021,1,1),1,0))</f>
        <v/>
      </c>
      <c r="Q240">
        <f>IF(L240="",0,IF(L240&lt;TIME(7,0,0),1,0))</f>
        <v/>
      </c>
      <c r="R240">
        <f>IF(M240="",0,IF(M240&gt;TIME(18,0,0),1,0))</f>
        <v/>
      </c>
      <c r="S240">
        <f>IF(AND(H240="Yes",O240=1,COUNTIFS($C$2:C240,C240,$N$2:N240,N240,$H$2:H240,"Yes",$O$2:O240,1)=1),1,0)</f>
        <v/>
      </c>
      <c r="T240">
        <f>SUMIFS($F$2:$F$294,$C$2:$C$294,C240,$N$2:$N$294,N240,$H$2:$H$294,"Yes",$O$2:$O$294,1)</f>
        <v/>
      </c>
    </row>
    <row r="241">
      <c r="A241" t="inlineStr">
        <is>
          <t>SE-40011305</t>
        </is>
      </c>
      <c r="B241" t="inlineStr">
        <is>
          <t>Kids Academy Rosebery</t>
        </is>
      </c>
      <c r="C241" t="inlineStr">
        <is>
          <t>Affinity Education Group Pty Limited</t>
        </is>
      </c>
      <c r="D241" t="inlineStr">
        <is>
          <t>ROSEBERY</t>
        </is>
      </c>
      <c r="E241" t="inlineStr">
        <is>
          <t>2018</t>
        </is>
      </c>
      <c r="F241" t="n">
        <v>90</v>
      </c>
      <c r="G241" t="inlineStr">
        <is>
          <t>Meeting NQS</t>
        </is>
      </c>
      <c r="H241" t="inlineStr">
        <is>
          <t>Yes</t>
        </is>
      </c>
      <c r="I241" t="inlineStr">
        <is>
          <t>No</t>
        </is>
      </c>
      <c r="J241" t="inlineStr">
        <is>
          <t>No</t>
        </is>
      </c>
      <c r="K241" s="9" t="n">
        <v>43175</v>
      </c>
      <c r="L241" s="10" t="n">
        <v>0.2916666666666667</v>
      </c>
      <c r="M241" s="10" t="n">
        <v>0.7708333333333334</v>
      </c>
      <c r="N241">
        <f>IFERROR(VLOOKUP(UPPER(D241),Suburb_LGA_Map!$A:$B,2,FALSE),"")</f>
        <v/>
      </c>
      <c r="O241" s="3" t="n">
        <v>1</v>
      </c>
      <c r="P241">
        <f>IF(K241="",0,IF(K241&gt;=DATE(2021,1,1),1,0))</f>
        <v/>
      </c>
      <c r="Q241">
        <f>IF(L241="",0,IF(L241&lt;TIME(7,0,0),1,0))</f>
        <v/>
      </c>
      <c r="R241">
        <f>IF(M241="",0,IF(M241&gt;TIME(18,0,0),1,0))</f>
        <v/>
      </c>
      <c r="S241">
        <f>IF(AND(H241="Yes",O241=1,COUNTIFS($C$2:C241,C241,$N$2:N241,N241,$H$2:H241,"Yes",$O$2:O241,1)=1),1,0)</f>
        <v/>
      </c>
      <c r="T241">
        <f>SUMIFS($F$2:$F$294,$C$2:$C$294,C241,$N$2:$N$294,N241,$H$2:$H$294,"Yes",$O$2:$O$294,1)</f>
        <v/>
      </c>
    </row>
    <row r="242">
      <c r="A242" t="inlineStr">
        <is>
          <t>SE-40011341</t>
        </is>
      </c>
      <c r="B242" t="inlineStr">
        <is>
          <t>Royal North Shore Hospital Child Care Centre</t>
        </is>
      </c>
      <c r="C242" t="inlineStr">
        <is>
          <t>NORTHERN SYDNEY LOCAL HEALTH DISTRICT</t>
        </is>
      </c>
      <c r="D242" t="inlineStr">
        <is>
          <t>ST LEONARDS</t>
        </is>
      </c>
      <c r="E242" t="inlineStr">
        <is>
          <t>2065</t>
        </is>
      </c>
      <c r="F242" t="n">
        <v>70</v>
      </c>
      <c r="G242" t="inlineStr">
        <is>
          <t>Meeting NQS</t>
        </is>
      </c>
      <c r="H242" t="inlineStr">
        <is>
          <t>Yes</t>
        </is>
      </c>
      <c r="I242" t="inlineStr">
        <is>
          <t>No</t>
        </is>
      </c>
      <c r="J242" t="inlineStr">
        <is>
          <t>No</t>
        </is>
      </c>
      <c r="K242" s="9" t="n">
        <v>43222</v>
      </c>
      <c r="L242" s="10" t="n">
        <v>0.28125</v>
      </c>
      <c r="M242" s="10" t="n">
        <v>0.75</v>
      </c>
      <c r="N242">
        <f>IFERROR(VLOOKUP(UPPER(D242),Suburb_LGA_Map!$A:$B,2,FALSE),"")</f>
        <v/>
      </c>
      <c r="O242" s="3" t="n">
        <v>1</v>
      </c>
      <c r="P242">
        <f>IF(K242="",0,IF(K242&gt;=DATE(2021,1,1),1,0))</f>
        <v/>
      </c>
      <c r="Q242">
        <f>IF(L242="",0,IF(L242&lt;TIME(7,0,0),1,0))</f>
        <v/>
      </c>
      <c r="R242">
        <f>IF(M242="",0,IF(M242&gt;TIME(18,0,0),1,0))</f>
        <v/>
      </c>
      <c r="S242">
        <f>IF(AND(H242="Yes",O242=1,COUNTIFS($C$2:C242,C242,$N$2:N242,N242,$H$2:H242,"Yes",$O$2:O242,1)=1),1,0)</f>
        <v/>
      </c>
      <c r="T242">
        <f>SUMIFS($F$2:$F$294,$C$2:$C$294,C242,$N$2:$N$294,N242,$H$2:$H$294,"Yes",$O$2:$O$294,1)</f>
        <v/>
      </c>
    </row>
    <row r="243">
      <c r="A243" t="inlineStr">
        <is>
          <t>SE-40029457</t>
        </is>
      </c>
      <c r="B243" t="inlineStr">
        <is>
          <t>Adventures Preschool and Long Day Care</t>
        </is>
      </c>
      <c r="C243" t="inlineStr">
        <is>
          <t>West Pennant Hills Child Care Centre Pty Limited</t>
        </is>
      </c>
      <c r="D243" t="inlineStr">
        <is>
          <t>TURRAMURRA</t>
        </is>
      </c>
      <c r="E243" t="inlineStr">
        <is>
          <t>2074</t>
        </is>
      </c>
      <c r="F243" t="n">
        <v>74</v>
      </c>
      <c r="G243" t="inlineStr">
        <is>
          <t>Exceeding NQS</t>
        </is>
      </c>
      <c r="H243" t="inlineStr">
        <is>
          <t>Yes</t>
        </is>
      </c>
      <c r="I243" t="inlineStr">
        <is>
          <t>No</t>
        </is>
      </c>
      <c r="J243" t="inlineStr">
        <is>
          <t>Yes</t>
        </is>
      </c>
      <c r="K243" s="9" t="n">
        <v>45352</v>
      </c>
      <c r="L243" s="10" t="n">
        <v>0.3125</v>
      </c>
      <c r="M243" s="10" t="n">
        <v>0.75</v>
      </c>
      <c r="N243">
        <f>IFERROR(VLOOKUP(UPPER(D243),Suburb_LGA_Map!$A:$B,2,FALSE),"")</f>
        <v/>
      </c>
      <c r="O243" s="3" t="n">
        <v>1</v>
      </c>
      <c r="P243">
        <f>IF(K243="",0,IF(K243&gt;=DATE(2021,1,1),1,0))</f>
        <v/>
      </c>
      <c r="Q243">
        <f>IF(L243="",0,IF(L243&lt;TIME(7,0,0),1,0))</f>
        <v/>
      </c>
      <c r="R243">
        <f>IF(M243="",0,IF(M243&gt;TIME(18,0,0),1,0))</f>
        <v/>
      </c>
      <c r="S243">
        <f>IF(AND(H243="Yes",O243=1,COUNTIFS($C$2:C243,C243,$N$2:N243,N243,$H$2:H243,"Yes",$O$2:O243,1)=1),1,0)</f>
        <v/>
      </c>
      <c r="T243">
        <f>SUMIFS($F$2:$F$294,$C$2:$C$294,C243,$N$2:$N$294,N243,$H$2:$H$294,"Yes",$O$2:$O$294,1)</f>
        <v/>
      </c>
    </row>
    <row r="244">
      <c r="A244" t="inlineStr">
        <is>
          <t>SE-40029991</t>
        </is>
      </c>
      <c r="B244" t="inlineStr">
        <is>
          <t>FIRST 2 LEARN</t>
        </is>
      </c>
      <c r="C244" t="inlineStr">
        <is>
          <t>First 2 Learn Pty Ltd</t>
        </is>
      </c>
      <c r="D244" t="inlineStr">
        <is>
          <t>ROCKDALE</t>
        </is>
      </c>
      <c r="E244" t="inlineStr">
        <is>
          <t>2216</t>
        </is>
      </c>
      <c r="F244" t="n">
        <v>40</v>
      </c>
      <c r="G244" t="inlineStr">
        <is>
          <t>Working Towards NQS</t>
        </is>
      </c>
      <c r="H244" t="inlineStr">
        <is>
          <t>Yes</t>
        </is>
      </c>
      <c r="I244" t="inlineStr">
        <is>
          <t>No</t>
        </is>
      </c>
      <c r="J244" t="inlineStr">
        <is>
          <t>No</t>
        </is>
      </c>
      <c r="K244" s="9" t="n">
        <v>45432</v>
      </c>
      <c r="L244" s="10" t="n">
        <v>0.2916666666666667</v>
      </c>
      <c r="M244" s="10" t="n">
        <v>0.75</v>
      </c>
      <c r="N244">
        <f>IFERROR(VLOOKUP(UPPER(D244),Suburb_LGA_Map!$A:$B,2,FALSE),"")</f>
        <v/>
      </c>
      <c r="O244" s="3" t="n">
        <v>1</v>
      </c>
      <c r="P244">
        <f>IF(K244="",0,IF(K244&gt;=DATE(2021,1,1),1,0))</f>
        <v/>
      </c>
      <c r="Q244">
        <f>IF(L244="",0,IF(L244&lt;TIME(7,0,0),1,0))</f>
        <v/>
      </c>
      <c r="R244">
        <f>IF(M244="",0,IF(M244&gt;TIME(18,0,0),1,0))</f>
        <v/>
      </c>
      <c r="S244">
        <f>IF(AND(H244="Yes",O244=1,COUNTIFS($C$2:C244,C244,$N$2:N244,N244,$H$2:H244,"Yes",$O$2:O244,1)=1),1,0)</f>
        <v/>
      </c>
      <c r="T244">
        <f>SUMIFS($F$2:$F$294,$C$2:$C$294,C244,$N$2:$N$294,N244,$H$2:$H$294,"Yes",$O$2:$O$294,1)</f>
        <v/>
      </c>
    </row>
    <row r="245">
      <c r="A245" t="inlineStr">
        <is>
          <t>SE-00008069</t>
        </is>
      </c>
      <c r="B245" t="inlineStr">
        <is>
          <t>Ku-Ring-Gai Kindergarten</t>
        </is>
      </c>
      <c r="C245" t="inlineStr">
        <is>
          <t>KKindergarten Pty Ltd</t>
        </is>
      </c>
      <c r="D245" t="inlineStr">
        <is>
          <t>TURRAMURRA</t>
        </is>
      </c>
      <c r="E245" t="inlineStr">
        <is>
          <t>2074</t>
        </is>
      </c>
      <c r="F245" t="n">
        <v>36</v>
      </c>
      <c r="G245" t="inlineStr">
        <is>
          <t>Exceeding NQS</t>
        </is>
      </c>
      <c r="H245" t="inlineStr">
        <is>
          <t>Yes</t>
        </is>
      </c>
      <c r="I245" t="inlineStr">
        <is>
          <t>No</t>
        </is>
      </c>
      <c r="J245" t="inlineStr">
        <is>
          <t>No</t>
        </is>
      </c>
      <c r="K245" s="9" t="n">
        <v>39840</v>
      </c>
      <c r="L245" s="10" t="n">
        <v>0.3125</v>
      </c>
      <c r="M245" s="10" t="n">
        <v>0.75</v>
      </c>
      <c r="N245">
        <f>IFERROR(VLOOKUP(UPPER(D245),Suburb_LGA_Map!$A:$B,2,FALSE),"")</f>
        <v/>
      </c>
      <c r="O245" s="3" t="n">
        <v>1</v>
      </c>
      <c r="P245">
        <f>IF(K245="",0,IF(K245&gt;=DATE(2021,1,1),1,0))</f>
        <v/>
      </c>
      <c r="Q245">
        <f>IF(L245="",0,IF(L245&lt;TIME(7,0,0),1,0))</f>
        <v/>
      </c>
      <c r="R245">
        <f>IF(M245="",0,IF(M245&gt;TIME(18,0,0),1,0))</f>
        <v/>
      </c>
      <c r="S245">
        <f>IF(AND(H245="Yes",O245=1,COUNTIFS($C$2:C245,C245,$N$2:N245,N245,$H$2:H245,"Yes",$O$2:O245,1)=1),1,0)</f>
        <v/>
      </c>
      <c r="T245">
        <f>SUMIFS($F$2:$F$294,$C$2:$C$294,C245,$N$2:$N$294,N245,$H$2:$H$294,"Yes",$O$2:$O$294,1)</f>
        <v/>
      </c>
    </row>
    <row r="246">
      <c r="A246" t="inlineStr">
        <is>
          <t>SE-00008075</t>
        </is>
      </c>
      <c r="B246" t="inlineStr">
        <is>
          <t>Ku-Ring-Gai Family Day Care</t>
        </is>
      </c>
      <c r="C246" t="inlineStr">
        <is>
          <t>Ku-ring-gai Council</t>
        </is>
      </c>
      <c r="D246" t="inlineStr">
        <is>
          <t>GORDON</t>
        </is>
      </c>
      <c r="E246" t="inlineStr">
        <is>
          <t>2072</t>
        </is>
      </c>
      <c r="F246" t="n">
        <v>0</v>
      </c>
      <c r="G246" t="inlineStr">
        <is>
          <t>Meeting NQS</t>
        </is>
      </c>
      <c r="H246" t="inlineStr">
        <is>
          <t>No</t>
        </is>
      </c>
      <c r="I246" t="inlineStr">
        <is>
          <t>No</t>
        </is>
      </c>
      <c r="J246" t="inlineStr">
        <is>
          <t>No</t>
        </is>
      </c>
      <c r="K246" s="9" t="n">
        <v>39063</v>
      </c>
      <c r="L246" s="10" t="n">
        <v>0.3541666666666667</v>
      </c>
      <c r="M246" s="10" t="n">
        <v>0.7083333333333334</v>
      </c>
      <c r="N246">
        <f>IFERROR(VLOOKUP(UPPER(D246),Suburb_LGA_Map!$A:$B,2,FALSE),"")</f>
        <v/>
      </c>
      <c r="O246" s="3" t="n">
        <v>1</v>
      </c>
      <c r="P246">
        <f>IF(K246="",0,IF(K246&gt;=DATE(2021,1,1),1,0))</f>
        <v/>
      </c>
      <c r="Q246">
        <f>IF(L246="",0,IF(L246&lt;TIME(7,0,0),1,0))</f>
        <v/>
      </c>
      <c r="R246">
        <f>IF(M246="",0,IF(M246&gt;TIME(18,0,0),1,0))</f>
        <v/>
      </c>
      <c r="S246">
        <f>IF(AND(H246="Yes",O246=1,COUNTIFS($C$2:C246,C246,$N$2:N246,N246,$H$2:H246,"Yes",$O$2:O246,1)=1),1,0)</f>
        <v/>
      </c>
      <c r="T246">
        <f>SUMIFS($F$2:$F$294,$C$2:$C$294,C246,$N$2:$N$294,N246,$H$2:$H$294,"Yes",$O$2:$O$294,1)</f>
        <v/>
      </c>
    </row>
    <row r="247">
      <c r="A247" t="inlineStr">
        <is>
          <t>SE-00008083</t>
        </is>
      </c>
      <c r="B247" t="inlineStr">
        <is>
          <t>Lady Game Community Kindergarten</t>
        </is>
      </c>
      <c r="C247" t="inlineStr">
        <is>
          <t>Lady Game Community Kindergarten Inc</t>
        </is>
      </c>
      <c r="D247" t="inlineStr">
        <is>
          <t>LINDFIELD</t>
        </is>
      </c>
      <c r="E247" t="inlineStr">
        <is>
          <t>2070</t>
        </is>
      </c>
      <c r="F247" t="n">
        <v>40</v>
      </c>
      <c r="G247" t="inlineStr">
        <is>
          <t>Meeting NQS</t>
        </is>
      </c>
      <c r="H247" t="inlineStr">
        <is>
          <t>No</t>
        </is>
      </c>
      <c r="I247" t="inlineStr">
        <is>
          <t>Yes</t>
        </is>
      </c>
      <c r="J247" t="inlineStr">
        <is>
          <t>No</t>
        </is>
      </c>
      <c r="K247" s="9" t="n">
        <v>39027</v>
      </c>
      <c r="L247" s="10" t="n">
        <v>0.3333333333333333</v>
      </c>
      <c r="M247" s="10" t="n">
        <v>0.6458333333333334</v>
      </c>
      <c r="N247">
        <f>IFERROR(VLOOKUP(UPPER(D247),Suburb_LGA_Map!$A:$B,2,FALSE),"")</f>
        <v/>
      </c>
      <c r="O247" s="3" t="n">
        <v>1</v>
      </c>
      <c r="P247">
        <f>IF(K247="",0,IF(K247&gt;=DATE(2021,1,1),1,0))</f>
        <v/>
      </c>
      <c r="Q247">
        <f>IF(L247="",0,IF(L247&lt;TIME(7,0,0),1,0))</f>
        <v/>
      </c>
      <c r="R247">
        <f>IF(M247="",0,IF(M247&gt;TIME(18,0,0),1,0))</f>
        <v/>
      </c>
      <c r="S247">
        <f>IF(AND(H247="Yes",O247=1,COUNTIFS($C$2:C247,C247,$N$2:N247,N247,$H$2:H247,"Yes",$O$2:O247,1)=1),1,0)</f>
        <v/>
      </c>
      <c r="T247">
        <f>SUMIFS($F$2:$F$294,$C$2:$C$294,C247,$N$2:$N$294,N247,$H$2:$H$294,"Yes",$O$2:$O$294,1)</f>
        <v/>
      </c>
    </row>
    <row r="248">
      <c r="A248" t="inlineStr">
        <is>
          <t>SE-00008084</t>
        </is>
      </c>
      <c r="B248" t="inlineStr">
        <is>
          <t>Ladybugs Daycare</t>
        </is>
      </c>
      <c r="C248" t="inlineStr">
        <is>
          <t>Arncliffe Early Learning Centre Pty Ltd</t>
        </is>
      </c>
      <c r="D248" t="inlineStr">
        <is>
          <t>TURRELLA</t>
        </is>
      </c>
      <c r="E248" t="inlineStr">
        <is>
          <t>2205</t>
        </is>
      </c>
      <c r="F248" t="n">
        <v>49</v>
      </c>
      <c r="G248" t="inlineStr">
        <is>
          <t>Meeting NQS</t>
        </is>
      </c>
      <c r="H248" t="inlineStr">
        <is>
          <t>Yes</t>
        </is>
      </c>
      <c r="I248" t="inlineStr">
        <is>
          <t>No</t>
        </is>
      </c>
      <c r="J248" t="inlineStr">
        <is>
          <t>No</t>
        </is>
      </c>
      <c r="K248" s="9" t="n">
        <v>40463</v>
      </c>
      <c r="L248" s="10" t="n">
        <v>0.2916666666666667</v>
      </c>
      <c r="M248" s="10" t="n">
        <v>0.75</v>
      </c>
      <c r="N248">
        <f>IFERROR(VLOOKUP(UPPER(D248),Suburb_LGA_Map!$A:$B,2,FALSE),"")</f>
        <v/>
      </c>
      <c r="O248" s="3" t="n">
        <v>1</v>
      </c>
      <c r="P248">
        <f>IF(K248="",0,IF(K248&gt;=DATE(2021,1,1),1,0))</f>
        <v/>
      </c>
      <c r="Q248">
        <f>IF(L248="",0,IF(L248&lt;TIME(7,0,0),1,0))</f>
        <v/>
      </c>
      <c r="R248">
        <f>IF(M248="",0,IF(M248&gt;TIME(18,0,0),1,0))</f>
        <v/>
      </c>
      <c r="S248">
        <f>IF(AND(H248="Yes",O248=1,COUNTIFS($C$2:C248,C248,$N$2:N248,N248,$H$2:H248,"Yes",$O$2:O248,1)=1),1,0)</f>
        <v/>
      </c>
      <c r="T248">
        <f>SUMIFS($F$2:$F$294,$C$2:$C$294,C248,$N$2:$N$294,N248,$H$2:$H$294,"Yes",$O$2:$O$294,1)</f>
        <v/>
      </c>
    </row>
    <row r="249">
      <c r="A249" t="inlineStr">
        <is>
          <t>SE-00008117</t>
        </is>
      </c>
      <c r="B249" t="inlineStr">
        <is>
          <t>Learn &amp; Laugh</t>
        </is>
      </c>
      <c r="C249" t="inlineStr">
        <is>
          <t>Learn &amp; Laugh No 2 Pty Limited</t>
        </is>
      </c>
      <c r="D249" t="inlineStr">
        <is>
          <t>ROSEBERY</t>
        </is>
      </c>
      <c r="E249" t="inlineStr">
        <is>
          <t>2018</t>
        </is>
      </c>
      <c r="F249" t="n">
        <v>56</v>
      </c>
      <c r="G249" t="inlineStr">
        <is>
          <t>Meeting NQS</t>
        </is>
      </c>
      <c r="H249" t="inlineStr">
        <is>
          <t>Yes</t>
        </is>
      </c>
      <c r="I249" t="inlineStr">
        <is>
          <t>No</t>
        </is>
      </c>
      <c r="J249" t="inlineStr">
        <is>
          <t>No</t>
        </is>
      </c>
      <c r="K249" s="9" t="n">
        <v>39840</v>
      </c>
      <c r="L249" s="10" t="n">
        <v>0.3125</v>
      </c>
      <c r="M249" s="10" t="n">
        <v>0.75</v>
      </c>
      <c r="N249">
        <f>IFERROR(VLOOKUP(UPPER(D249),Suburb_LGA_Map!$A:$B,2,FALSE),"")</f>
        <v/>
      </c>
      <c r="O249" s="3" t="n">
        <v>1</v>
      </c>
      <c r="P249">
        <f>IF(K249="",0,IF(K249&gt;=DATE(2021,1,1),1,0))</f>
        <v/>
      </c>
      <c r="Q249">
        <f>IF(L249="",0,IF(L249&lt;TIME(7,0,0),1,0))</f>
        <v/>
      </c>
      <c r="R249">
        <f>IF(M249="",0,IF(M249&gt;TIME(18,0,0),1,0))</f>
        <v/>
      </c>
      <c r="S249">
        <f>IF(AND(H249="Yes",O249=1,COUNTIFS($C$2:C249,C249,$N$2:N249,N249,$H$2:H249,"Yes",$O$2:O249,1)=1),1,0)</f>
        <v/>
      </c>
      <c r="T249">
        <f>SUMIFS($F$2:$F$294,$C$2:$C$294,C249,$N$2:$N$294,N249,$H$2:$H$294,"Yes",$O$2:$O$294,1)</f>
        <v/>
      </c>
    </row>
    <row r="250">
      <c r="A250" t="inlineStr">
        <is>
          <t>SE-00008143</t>
        </is>
      </c>
      <c r="B250" t="inlineStr">
        <is>
          <t>Lilliput Corner Nursery School</t>
        </is>
      </c>
      <c r="C250" t="inlineStr">
        <is>
          <t>Naletran Pty Limited</t>
        </is>
      </c>
      <c r="D250" t="inlineStr">
        <is>
          <t>BRIGHTON-LE-SANDS</t>
        </is>
      </c>
      <c r="E250" t="inlineStr">
        <is>
          <t>2216</t>
        </is>
      </c>
      <c r="F250" t="n">
        <v>27</v>
      </c>
      <c r="G250" t="inlineStr">
        <is>
          <t>Meeting NQS</t>
        </is>
      </c>
      <c r="H250" t="inlineStr">
        <is>
          <t>Yes</t>
        </is>
      </c>
      <c r="I250" t="inlineStr">
        <is>
          <t>No</t>
        </is>
      </c>
      <c r="J250" t="inlineStr">
        <is>
          <t>No</t>
        </is>
      </c>
      <c r="K250" s="9" t="n">
        <v>40022</v>
      </c>
      <c r="L250" s="10" t="n">
        <v>0.3125</v>
      </c>
      <c r="M250" s="10" t="n">
        <v>0.75</v>
      </c>
      <c r="N250">
        <f>IFERROR(VLOOKUP(UPPER(D250),Suburb_LGA_Map!$A:$B,2,FALSE),"")</f>
        <v/>
      </c>
      <c r="O250" s="3" t="n">
        <v>1</v>
      </c>
      <c r="P250">
        <f>IF(K250="",0,IF(K250&gt;=DATE(2021,1,1),1,0))</f>
        <v/>
      </c>
      <c r="Q250">
        <f>IF(L250="",0,IF(L250&lt;TIME(7,0,0),1,0))</f>
        <v/>
      </c>
      <c r="R250">
        <f>IF(M250="",0,IF(M250&gt;TIME(18,0,0),1,0))</f>
        <v/>
      </c>
      <c r="S250">
        <f>IF(AND(H250="Yes",O250=1,COUNTIFS($C$2:C250,C250,$N$2:N250,N250,$H$2:H250,"Yes",$O$2:O250,1)=1),1,0)</f>
        <v/>
      </c>
      <c r="T250">
        <f>SUMIFS($F$2:$F$294,$C$2:$C$294,C250,$N$2:$N$294,N250,$H$2:$H$294,"Yes",$O$2:$O$294,1)</f>
        <v/>
      </c>
    </row>
    <row r="251">
      <c r="A251" t="inlineStr">
        <is>
          <t>SE-00008182</t>
        </is>
      </c>
      <c r="B251" t="inlineStr">
        <is>
          <t>Little Dolphins Long Day Care Centre</t>
        </is>
      </c>
      <c r="C251" t="inlineStr">
        <is>
          <t>The Dounis Group Pty Ltd</t>
        </is>
      </c>
      <c r="D251" t="inlineStr">
        <is>
          <t>BRIGHTON-LE-SANDS</t>
        </is>
      </c>
      <c r="E251" t="inlineStr">
        <is>
          <t>2216</t>
        </is>
      </c>
      <c r="F251" t="n">
        <v>46</v>
      </c>
      <c r="G251" t="inlineStr">
        <is>
          <t>Meeting NQS</t>
        </is>
      </c>
      <c r="H251" t="inlineStr">
        <is>
          <t>Yes</t>
        </is>
      </c>
      <c r="I251" t="inlineStr">
        <is>
          <t>No</t>
        </is>
      </c>
      <c r="J251" t="inlineStr">
        <is>
          <t>No</t>
        </is>
      </c>
      <c r="K251" s="9" t="n">
        <v>39811</v>
      </c>
      <c r="L251" s="10" t="n">
        <v>0.2916666666666667</v>
      </c>
      <c r="M251" s="10" t="n">
        <v>0.7916666666666666</v>
      </c>
      <c r="N251">
        <f>IFERROR(VLOOKUP(UPPER(D251),Suburb_LGA_Map!$A:$B,2,FALSE),"")</f>
        <v/>
      </c>
      <c r="O251" s="3" t="n">
        <v>1</v>
      </c>
      <c r="P251">
        <f>IF(K251="",0,IF(K251&gt;=DATE(2021,1,1),1,0))</f>
        <v/>
      </c>
      <c r="Q251">
        <f>IF(L251="",0,IF(L251&lt;TIME(7,0,0),1,0))</f>
        <v/>
      </c>
      <c r="R251">
        <f>IF(M251="",0,IF(M251&gt;TIME(18,0,0),1,0))</f>
        <v/>
      </c>
      <c r="S251">
        <f>IF(AND(H251="Yes",O251=1,COUNTIFS($C$2:C251,C251,$N$2:N251,N251,$H$2:H251,"Yes",$O$2:O251,1)=1),1,0)</f>
        <v/>
      </c>
      <c r="T251">
        <f>SUMIFS($F$2:$F$294,$C$2:$C$294,C251,$N$2:$N$294,N251,$H$2:$H$294,"Yes",$O$2:$O$294,1)</f>
        <v/>
      </c>
    </row>
    <row r="252">
      <c r="A252" t="inlineStr">
        <is>
          <t>SE-00016997</t>
        </is>
      </c>
      <c r="B252" t="inlineStr">
        <is>
          <t>East Killara Montessori Preschool</t>
        </is>
      </c>
      <c r="C252" t="inlineStr">
        <is>
          <t>Piccolo's Accelerated Early Learning Pty Ltd</t>
        </is>
      </c>
      <c r="D252" t="inlineStr">
        <is>
          <t>EAST KILLARA</t>
        </is>
      </c>
      <c r="E252" t="inlineStr">
        <is>
          <t>2071</t>
        </is>
      </c>
      <c r="F252" t="n">
        <v>42</v>
      </c>
      <c r="G252" t="inlineStr">
        <is>
          <t>Meeting NQS</t>
        </is>
      </c>
      <c r="H252" t="inlineStr">
        <is>
          <t>Yes</t>
        </is>
      </c>
      <c r="I252" t="inlineStr">
        <is>
          <t>No</t>
        </is>
      </c>
      <c r="J252" t="inlineStr">
        <is>
          <t>No</t>
        </is>
      </c>
      <c r="K252" s="9" t="n">
        <v>45646</v>
      </c>
      <c r="L252" s="10" t="n">
        <v>0.3125</v>
      </c>
      <c r="M252" s="10" t="n">
        <v>0.7708333333333334</v>
      </c>
      <c r="N252">
        <f>IFERROR(VLOOKUP(UPPER(D252),Suburb_LGA_Map!$A:$B,2,FALSE),"")</f>
        <v/>
      </c>
      <c r="O252" s="3" t="n">
        <v>1</v>
      </c>
      <c r="P252">
        <f>IF(K252="",0,IF(K252&gt;=DATE(2021,1,1),1,0))</f>
        <v/>
      </c>
      <c r="Q252">
        <f>IF(L252="",0,IF(L252&lt;TIME(7,0,0),1,0))</f>
        <v/>
      </c>
      <c r="R252">
        <f>IF(M252="",0,IF(M252&gt;TIME(18,0,0),1,0))</f>
        <v/>
      </c>
      <c r="S252">
        <f>IF(AND(H252="Yes",O252=1,COUNTIFS($C$2:C252,C252,$N$2:N252,N252,$H$2:H252,"Yes",$O$2:O252,1)=1),1,0)</f>
        <v/>
      </c>
      <c r="T252">
        <f>SUMIFS($F$2:$F$294,$C$2:$C$294,C252,$N$2:$N$294,N252,$H$2:$H$294,"Yes",$O$2:$O$294,1)</f>
        <v/>
      </c>
    </row>
    <row r="253">
      <c r="A253" t="inlineStr">
        <is>
          <t>SE-40020765</t>
        </is>
      </c>
      <c r="B253" t="inlineStr">
        <is>
          <t>The After School Klub Bexley</t>
        </is>
      </c>
      <c r="C253" t="inlineStr">
        <is>
          <t>The After School Klub Pty Ltd</t>
        </is>
      </c>
      <c r="D253" t="inlineStr">
        <is>
          <t>BEXLEY</t>
        </is>
      </c>
      <c r="E253" t="inlineStr">
        <is>
          <t>2207</t>
        </is>
      </c>
      <c r="F253" t="n">
        <v>55</v>
      </c>
      <c r="G253" t="inlineStr">
        <is>
          <t>Meeting NQS</t>
        </is>
      </c>
      <c r="H253" t="inlineStr">
        <is>
          <t>No</t>
        </is>
      </c>
      <c r="I253" t="inlineStr">
        <is>
          <t>No</t>
        </is>
      </c>
      <c r="J253" t="inlineStr">
        <is>
          <t>Yes</t>
        </is>
      </c>
      <c r="K253" s="9" t="n">
        <v>44301</v>
      </c>
      <c r="L253" s="10" t="n"/>
      <c r="M253" s="10" t="n"/>
      <c r="N253">
        <f>IFERROR(VLOOKUP(UPPER(D253),Suburb_LGA_Map!$A:$B,2,FALSE),"")</f>
        <v/>
      </c>
      <c r="O253" s="3" t="n">
        <v>1</v>
      </c>
      <c r="P253">
        <f>IF(K253="",0,IF(K253&gt;=DATE(2021,1,1),1,0))</f>
        <v/>
      </c>
      <c r="Q253">
        <f>IF(L253="",0,IF(L253&lt;TIME(7,0,0),1,0))</f>
        <v/>
      </c>
      <c r="R253">
        <f>IF(M253="",0,IF(M253&gt;TIME(18,0,0),1,0))</f>
        <v/>
      </c>
      <c r="S253">
        <f>IF(AND(H253="Yes",O253=1,COUNTIFS($C$2:C253,C253,$N$2:N253,N253,$H$2:H253,"Yes",$O$2:O253,1)=1),1,0)</f>
        <v/>
      </c>
      <c r="T253">
        <f>SUMIFS($F$2:$F$294,$C$2:$C$294,C253,$N$2:$N$294,N253,$H$2:$H$294,"Yes",$O$2:$O$294,1)</f>
        <v/>
      </c>
    </row>
    <row r="254">
      <c r="A254" t="inlineStr">
        <is>
          <t>SE-40021026</t>
        </is>
      </c>
      <c r="B254" t="inlineStr">
        <is>
          <t>SCECS OSHC Marist North Shore</t>
        </is>
      </c>
      <c r="C254" t="inlineStr">
        <is>
          <t>SYDNEY CATHOLIC EARLY CHILDHOOD SERVICES LTD</t>
        </is>
      </c>
      <c r="D254" t="inlineStr">
        <is>
          <t>NORTH SYDNEY</t>
        </is>
      </c>
      <c r="E254" t="inlineStr">
        <is>
          <t>2060</t>
        </is>
      </c>
      <c r="F254" t="n">
        <v>125</v>
      </c>
      <c r="G254" t="inlineStr">
        <is>
          <t>Meeting NQS</t>
        </is>
      </c>
      <c r="H254" t="inlineStr">
        <is>
          <t>No</t>
        </is>
      </c>
      <c r="I254" t="inlineStr">
        <is>
          <t>No</t>
        </is>
      </c>
      <c r="J254" t="inlineStr">
        <is>
          <t>Yes</t>
        </is>
      </c>
      <c r="K254" s="9" t="n">
        <v>44389</v>
      </c>
      <c r="L254" s="10" t="n"/>
      <c r="M254" s="10" t="n"/>
      <c r="N254">
        <f>IFERROR(VLOOKUP(UPPER(D254),Suburb_LGA_Map!$A:$B,2,FALSE),"")</f>
        <v/>
      </c>
      <c r="O254" s="3" t="n">
        <v>1</v>
      </c>
      <c r="P254">
        <f>IF(K254="",0,IF(K254&gt;=DATE(2021,1,1),1,0))</f>
        <v/>
      </c>
      <c r="Q254">
        <f>IF(L254="",0,IF(L254&lt;TIME(7,0,0),1,0))</f>
        <v/>
      </c>
      <c r="R254">
        <f>IF(M254="",0,IF(M254&gt;TIME(18,0,0),1,0))</f>
        <v/>
      </c>
      <c r="S254">
        <f>IF(AND(H254="Yes",O254=1,COUNTIFS($C$2:C254,C254,$N$2:N254,N254,$H$2:H254,"Yes",$O$2:O254,1)=1),1,0)</f>
        <v/>
      </c>
      <c r="T254">
        <f>SUMIFS($F$2:$F$294,$C$2:$C$294,C254,$N$2:$N$294,N254,$H$2:$H$294,"Yes",$O$2:$O$294,1)</f>
        <v/>
      </c>
    </row>
    <row r="255">
      <c r="A255" t="inlineStr">
        <is>
          <t>SE-40001789</t>
        </is>
      </c>
      <c r="B255" t="inlineStr">
        <is>
          <t>Sydney Grammar School (St Ives) TheirCare</t>
        </is>
      </c>
      <c r="C255" t="inlineStr">
        <is>
          <t>TheirCare Pty Ltd</t>
        </is>
      </c>
      <c r="D255" t="inlineStr">
        <is>
          <t>ST IVES</t>
        </is>
      </c>
      <c r="E255" t="inlineStr">
        <is>
          <t>2075</t>
        </is>
      </c>
      <c r="F255" t="n">
        <v>50</v>
      </c>
      <c r="G255" t="inlineStr">
        <is>
          <t>Meeting NQS</t>
        </is>
      </c>
      <c r="H255" t="inlineStr">
        <is>
          <t>No</t>
        </is>
      </c>
      <c r="I255" t="inlineStr">
        <is>
          <t>No</t>
        </is>
      </c>
      <c r="J255" t="inlineStr">
        <is>
          <t>Yes</t>
        </is>
      </c>
      <c r="K255" s="9" t="n">
        <v>41682</v>
      </c>
      <c r="L255" s="10" t="n"/>
      <c r="M255" s="10" t="n"/>
      <c r="N255">
        <f>IFERROR(VLOOKUP(UPPER(D255),Suburb_LGA_Map!$A:$B,2,FALSE),"")</f>
        <v/>
      </c>
      <c r="O255" s="3" t="n">
        <v>1</v>
      </c>
      <c r="P255">
        <f>IF(K255="",0,IF(K255&gt;=DATE(2021,1,1),1,0))</f>
        <v/>
      </c>
      <c r="Q255">
        <f>IF(L255="",0,IF(L255&lt;TIME(7,0,0),1,0))</f>
        <v/>
      </c>
      <c r="R255">
        <f>IF(M255="",0,IF(M255&gt;TIME(18,0,0),1,0))</f>
        <v/>
      </c>
      <c r="S255">
        <f>IF(AND(H255="Yes",O255=1,COUNTIFS($C$2:C255,C255,$N$2:N255,N255,$H$2:H255,"Yes",$O$2:O255,1)=1),1,0)</f>
        <v/>
      </c>
      <c r="T255">
        <f>SUMIFS($F$2:$F$294,$C$2:$C$294,C255,$N$2:$N$294,N255,$H$2:$H$294,"Yes",$O$2:$O$294,1)</f>
        <v/>
      </c>
    </row>
    <row r="256">
      <c r="A256" t="inlineStr">
        <is>
          <t>SE-00006622</t>
        </is>
      </c>
      <c r="B256" t="inlineStr">
        <is>
          <t>Bexley Jack &amp; Jill Pre-School</t>
        </is>
      </c>
      <c r="C256" t="inlineStr">
        <is>
          <t>Bexley Jack &amp; Jill Pre-School Inc</t>
        </is>
      </c>
      <c r="D256" t="inlineStr">
        <is>
          <t>BEXLEY</t>
        </is>
      </c>
      <c r="E256" t="inlineStr">
        <is>
          <t>2207</t>
        </is>
      </c>
      <c r="F256" t="n">
        <v>37</v>
      </c>
      <c r="G256" t="inlineStr">
        <is>
          <t>Exceeding NQS</t>
        </is>
      </c>
      <c r="H256" t="inlineStr">
        <is>
          <t>No</t>
        </is>
      </c>
      <c r="I256" t="inlineStr">
        <is>
          <t>Yes</t>
        </is>
      </c>
      <c r="J256" t="inlineStr">
        <is>
          <t>No</t>
        </is>
      </c>
      <c r="K256" s="9" t="n">
        <v>39710</v>
      </c>
      <c r="L256" s="10" t="n"/>
      <c r="M256" s="10" t="n"/>
      <c r="N256">
        <f>IFERROR(VLOOKUP(UPPER(D256),Suburb_LGA_Map!$A:$B,2,FALSE),"")</f>
        <v/>
      </c>
      <c r="O256" s="3" t="n">
        <v>1</v>
      </c>
      <c r="P256">
        <f>IF(K256="",0,IF(K256&gt;=DATE(2021,1,1),1,0))</f>
        <v/>
      </c>
      <c r="Q256">
        <f>IF(L256="",0,IF(L256&lt;TIME(7,0,0),1,0))</f>
        <v/>
      </c>
      <c r="R256">
        <f>IF(M256="",0,IF(M256&gt;TIME(18,0,0),1,0))</f>
        <v/>
      </c>
      <c r="S256">
        <f>IF(AND(H256="Yes",O256=1,COUNTIFS($C$2:C256,C256,$N$2:N256,N256,$H$2:H256,"Yes",$O$2:O256,1)=1),1,0)</f>
        <v/>
      </c>
      <c r="T256">
        <f>SUMIFS($F$2:$F$294,$C$2:$C$294,C256,$N$2:$N$294,N256,$H$2:$H$294,"Yes",$O$2:$O$294,1)</f>
        <v/>
      </c>
    </row>
    <row r="257">
      <c r="A257" t="inlineStr">
        <is>
          <t>SE-40003623</t>
        </is>
      </c>
      <c r="B257" t="inlineStr">
        <is>
          <t>Alfred Academy Early Learning Centre</t>
        </is>
      </c>
      <c r="C257" t="inlineStr">
        <is>
          <t>ALFRED ACADEMY EARLY LEARNING CENTRE PTY LTD</t>
        </is>
      </c>
      <c r="D257" t="inlineStr">
        <is>
          <t>SANS SOUCI</t>
        </is>
      </c>
      <c r="E257" t="inlineStr">
        <is>
          <t>2219</t>
        </is>
      </c>
      <c r="F257" t="n">
        <v>39</v>
      </c>
      <c r="G257" t="inlineStr">
        <is>
          <t>Exceeding NQS</t>
        </is>
      </c>
      <c r="H257" t="inlineStr">
        <is>
          <t>Yes</t>
        </is>
      </c>
      <c r="I257" t="inlineStr">
        <is>
          <t>No</t>
        </is>
      </c>
      <c r="J257" t="inlineStr">
        <is>
          <t>No</t>
        </is>
      </c>
      <c r="K257" s="9" t="n">
        <v>42108</v>
      </c>
      <c r="L257" s="10" t="n">
        <v>0.3125</v>
      </c>
      <c r="M257" s="10" t="n">
        <v>0.75</v>
      </c>
      <c r="N257">
        <f>IFERROR(VLOOKUP(UPPER(D257),Suburb_LGA_Map!$A:$B,2,FALSE),"")</f>
        <v/>
      </c>
      <c r="O257" s="3" t="n">
        <v>1</v>
      </c>
      <c r="P257">
        <f>IF(K257="",0,IF(K257&gt;=DATE(2021,1,1),1,0))</f>
        <v/>
      </c>
      <c r="Q257">
        <f>IF(L257="",0,IF(L257&lt;TIME(7,0,0),1,0))</f>
        <v/>
      </c>
      <c r="R257">
        <f>IF(M257="",0,IF(M257&gt;TIME(18,0,0),1,0))</f>
        <v/>
      </c>
      <c r="S257">
        <f>IF(AND(H257="Yes",O257=1,COUNTIFS($C$2:C257,C257,$N$2:N257,N257,$H$2:H257,"Yes",$O$2:O257,1)=1),1,0)</f>
        <v/>
      </c>
      <c r="T257">
        <f>SUMIFS($F$2:$F$294,$C$2:$C$294,C257,$N$2:$N$294,N257,$H$2:$H$294,"Yes",$O$2:$O$294,1)</f>
        <v/>
      </c>
    </row>
    <row r="258">
      <c r="A258" t="inlineStr">
        <is>
          <t>SE-00017683</t>
        </is>
      </c>
      <c r="B258" t="inlineStr">
        <is>
          <t>3Bridges St Mary &amp; St Mina</t>
        </is>
      </c>
      <c r="C258" t="inlineStr">
        <is>
          <t>3Bridges Community Limited</t>
        </is>
      </c>
      <c r="D258" t="inlineStr">
        <is>
          <t>BEXLEY</t>
        </is>
      </c>
      <c r="E258" t="inlineStr">
        <is>
          <t>2207</t>
        </is>
      </c>
      <c r="F258" t="n">
        <v>25</v>
      </c>
      <c r="G258" t="inlineStr"/>
      <c r="H258" t="inlineStr">
        <is>
          <t>No</t>
        </is>
      </c>
      <c r="I258" t="inlineStr">
        <is>
          <t>No</t>
        </is>
      </c>
      <c r="J258" t="inlineStr">
        <is>
          <t>Yes</t>
        </is>
      </c>
      <c r="K258" s="9" t="n">
        <v>45848</v>
      </c>
      <c r="L258" s="10" t="n"/>
      <c r="M258" s="10" t="n"/>
      <c r="N258">
        <f>IFERROR(VLOOKUP(UPPER(D258),Suburb_LGA_Map!$A:$B,2,FALSE),"")</f>
        <v/>
      </c>
      <c r="O258" s="3" t="n">
        <v>1</v>
      </c>
      <c r="P258">
        <f>IF(K258="",0,IF(K258&gt;=DATE(2021,1,1),1,0))</f>
        <v/>
      </c>
      <c r="Q258">
        <f>IF(L258="",0,IF(L258&lt;TIME(7,0,0),1,0))</f>
        <v/>
      </c>
      <c r="R258">
        <f>IF(M258="",0,IF(M258&gt;TIME(18,0,0),1,0))</f>
        <v/>
      </c>
      <c r="S258">
        <f>IF(AND(H258="Yes",O258=1,COUNTIFS($C$2:C258,C258,$N$2:N258,N258,$H$2:H258,"Yes",$O$2:O258,1)=1),1,0)</f>
        <v/>
      </c>
      <c r="T258">
        <f>SUMIFS($F$2:$F$294,$C$2:$C$294,C258,$N$2:$N$294,N258,$H$2:$H$294,"Yes",$O$2:$O$294,1)</f>
        <v/>
      </c>
    </row>
    <row r="259">
      <c r="A259" t="inlineStr">
        <is>
          <t>SE-00017731</t>
        </is>
      </c>
      <c r="B259" t="inlineStr">
        <is>
          <t>TeamKids - Matraville Public School</t>
        </is>
      </c>
      <c r="C259" t="inlineStr">
        <is>
          <t>TEAM HOLIDAY PTY LTD</t>
        </is>
      </c>
      <c r="D259" t="inlineStr">
        <is>
          <t>HILLSDALE</t>
        </is>
      </c>
      <c r="E259" t="inlineStr">
        <is>
          <t>2036</t>
        </is>
      </c>
      <c r="F259" t="n">
        <v>80</v>
      </c>
      <c r="G259" t="inlineStr"/>
      <c r="H259" t="inlineStr">
        <is>
          <t>No</t>
        </is>
      </c>
      <c r="I259" t="inlineStr">
        <is>
          <t>No</t>
        </is>
      </c>
      <c r="J259" t="inlineStr">
        <is>
          <t>Yes</t>
        </is>
      </c>
      <c r="K259" s="9" t="n">
        <v>45943</v>
      </c>
      <c r="L259" s="10" t="n"/>
      <c r="M259" s="10" t="n"/>
      <c r="N259">
        <f>IFERROR(VLOOKUP(UPPER(D259),Suburb_LGA_Map!$A:$B,2,FALSE),"")</f>
        <v/>
      </c>
      <c r="O259" s="3" t="n">
        <v>1</v>
      </c>
      <c r="P259">
        <f>IF(K259="",0,IF(K259&gt;=DATE(2021,1,1),1,0))</f>
        <v/>
      </c>
      <c r="Q259">
        <f>IF(L259="",0,IF(L259&lt;TIME(7,0,0),1,0))</f>
        <v/>
      </c>
      <c r="R259">
        <f>IF(M259="",0,IF(M259&gt;TIME(18,0,0),1,0))</f>
        <v/>
      </c>
      <c r="S259">
        <f>IF(AND(H259="Yes",O259=1,COUNTIFS($C$2:C259,C259,$N$2:N259,N259,$H$2:H259,"Yes",$O$2:O259,1)=1),1,0)</f>
        <v/>
      </c>
      <c r="T259">
        <f>SUMIFS($F$2:$F$294,$C$2:$C$294,C259,$N$2:$N$294,N259,$H$2:$H$294,"Yes",$O$2:$O$294,1)</f>
        <v/>
      </c>
    </row>
    <row r="260">
      <c r="A260" t="inlineStr">
        <is>
          <t>SE-00017769</t>
        </is>
      </c>
      <c r="B260" t="inlineStr">
        <is>
          <t>Giggle and Learn Early Childcare and Education</t>
        </is>
      </c>
      <c r="C260" t="inlineStr">
        <is>
          <t>Giggs and Learn Pty Ltd ATF Giggs and Learn Trust</t>
        </is>
      </c>
      <c r="D260" t="inlineStr">
        <is>
          <t>PYMBLE</t>
        </is>
      </c>
      <c r="E260" t="inlineStr">
        <is>
          <t>2073</t>
        </is>
      </c>
      <c r="F260" t="n">
        <v>62</v>
      </c>
      <c r="G260" t="inlineStr"/>
      <c r="H260" t="inlineStr">
        <is>
          <t>Yes</t>
        </is>
      </c>
      <c r="I260" t="inlineStr">
        <is>
          <t>No</t>
        </is>
      </c>
      <c r="J260" t="inlineStr">
        <is>
          <t>No</t>
        </is>
      </c>
      <c r="K260" s="9" t="n">
        <v>45902</v>
      </c>
      <c r="L260" s="10" t="n">
        <v>0.2916666666666667</v>
      </c>
      <c r="M260" s="10" t="n">
        <v>0.75</v>
      </c>
      <c r="N260">
        <f>IFERROR(VLOOKUP(UPPER(D260),Suburb_LGA_Map!$A:$B,2,FALSE),"")</f>
        <v/>
      </c>
      <c r="O260" s="3" t="n">
        <v>1</v>
      </c>
      <c r="P260">
        <f>IF(K260="",0,IF(K260&gt;=DATE(2021,1,1),1,0))</f>
        <v/>
      </c>
      <c r="Q260">
        <f>IF(L260="",0,IF(L260&lt;TIME(7,0,0),1,0))</f>
        <v/>
      </c>
      <c r="R260">
        <f>IF(M260="",0,IF(M260&gt;TIME(18,0,0),1,0))</f>
        <v/>
      </c>
      <c r="S260">
        <f>IF(AND(H260="Yes",O260=1,COUNTIFS($C$2:C260,C260,$N$2:N260,N260,$H$2:H260,"Yes",$O$2:O260,1)=1),1,0)</f>
        <v/>
      </c>
      <c r="T260">
        <f>SUMIFS($F$2:$F$294,$C$2:$C$294,C260,$N$2:$N$294,N260,$H$2:$H$294,"Yes",$O$2:$O$294,1)</f>
        <v/>
      </c>
    </row>
    <row r="261">
      <c r="A261" t="inlineStr">
        <is>
          <t>SE-40014265</t>
        </is>
      </c>
      <c r="B261" t="inlineStr">
        <is>
          <t>SCECS OSHC St Michael's Daceyville</t>
        </is>
      </c>
      <c r="C261" t="inlineStr">
        <is>
          <t>SYDNEY CATHOLIC EARLY CHILDHOOD SERVICES LTD</t>
        </is>
      </c>
      <c r="D261" t="inlineStr">
        <is>
          <t>DACEYVILLE</t>
        </is>
      </c>
      <c r="E261" t="inlineStr">
        <is>
          <t>2032</t>
        </is>
      </c>
      <c r="F261" t="n">
        <v>105</v>
      </c>
      <c r="G261" t="inlineStr">
        <is>
          <t>Meeting NQS</t>
        </is>
      </c>
      <c r="H261" t="inlineStr">
        <is>
          <t>No</t>
        </is>
      </c>
      <c r="I261" t="inlineStr">
        <is>
          <t>No</t>
        </is>
      </c>
      <c r="J261" t="inlineStr">
        <is>
          <t>Yes</t>
        </is>
      </c>
      <c r="K261" s="9" t="n">
        <v>43467</v>
      </c>
      <c r="L261" s="10" t="n"/>
      <c r="M261" s="10" t="n"/>
      <c r="N261">
        <f>IFERROR(VLOOKUP(UPPER(D261),Suburb_LGA_Map!$A:$B,2,FALSE),"")</f>
        <v/>
      </c>
      <c r="O261" s="3" t="n">
        <v>1</v>
      </c>
      <c r="P261">
        <f>IF(K261="",0,IF(K261&gt;=DATE(2021,1,1),1,0))</f>
        <v/>
      </c>
      <c r="Q261">
        <f>IF(L261="",0,IF(L261&lt;TIME(7,0,0),1,0))</f>
        <v/>
      </c>
      <c r="R261">
        <f>IF(M261="",0,IF(M261&gt;TIME(18,0,0),1,0))</f>
        <v/>
      </c>
      <c r="S261">
        <f>IF(AND(H261="Yes",O261=1,COUNTIFS($C$2:C261,C261,$N$2:N261,N261,$H$2:H261,"Yes",$O$2:O261,1)=1),1,0)</f>
        <v/>
      </c>
      <c r="T261">
        <f>SUMIFS($F$2:$F$294,$C$2:$C$294,C261,$N$2:$N$294,N261,$H$2:$H$294,"Yes",$O$2:$O$294,1)</f>
        <v/>
      </c>
    </row>
    <row r="262">
      <c r="A262" t="inlineStr">
        <is>
          <t>SE-40014286</t>
        </is>
      </c>
      <c r="B262" t="inlineStr">
        <is>
          <t>Learn Bright Early Learning Centre</t>
        </is>
      </c>
      <c r="C262" t="inlineStr">
        <is>
          <t>ANASTASIOU INVESTMENTS PTY LTD ATF Anastasiou Family Trust</t>
        </is>
      </c>
      <c r="D262" t="inlineStr">
        <is>
          <t>KINGSGROVE</t>
        </is>
      </c>
      <c r="E262" t="inlineStr">
        <is>
          <t>2208</t>
        </is>
      </c>
      <c r="F262" t="n">
        <v>39</v>
      </c>
      <c r="G262" t="inlineStr">
        <is>
          <t>Meeting NQS</t>
        </is>
      </c>
      <c r="H262" t="inlineStr">
        <is>
          <t>Yes</t>
        </is>
      </c>
      <c r="I262" t="inlineStr">
        <is>
          <t>No</t>
        </is>
      </c>
      <c r="J262" t="inlineStr">
        <is>
          <t>No</t>
        </is>
      </c>
      <c r="K262" s="9" t="n">
        <v>43430</v>
      </c>
      <c r="L262" s="10" t="n">
        <v>0.3125</v>
      </c>
      <c r="M262" s="10" t="n">
        <v>0.75</v>
      </c>
      <c r="N262">
        <f>IFERROR(VLOOKUP(UPPER(D262),Suburb_LGA_Map!$A:$B,2,FALSE),"")</f>
        <v/>
      </c>
      <c r="O262" s="3" t="n">
        <v>1</v>
      </c>
      <c r="P262">
        <f>IF(K262="",0,IF(K262&gt;=DATE(2021,1,1),1,0))</f>
        <v/>
      </c>
      <c r="Q262">
        <f>IF(L262="",0,IF(L262&lt;TIME(7,0,0),1,0))</f>
        <v/>
      </c>
      <c r="R262">
        <f>IF(M262="",0,IF(M262&gt;TIME(18,0,0),1,0))</f>
        <v/>
      </c>
      <c r="S262">
        <f>IF(AND(H262="Yes",O262=1,COUNTIFS($C$2:C262,C262,$N$2:N262,N262,$H$2:H262,"Yes",$O$2:O262,1)=1),1,0)</f>
        <v/>
      </c>
      <c r="T262">
        <f>SUMIFS($F$2:$F$294,$C$2:$C$294,C262,$N$2:$N$294,N262,$H$2:$H$294,"Yes",$O$2:$O$294,1)</f>
        <v/>
      </c>
    </row>
    <row r="263">
      <c r="A263" t="inlineStr">
        <is>
          <t>SE-40014392</t>
        </is>
      </c>
      <c r="B263" t="inlineStr">
        <is>
          <t>The Scots College OOSH</t>
        </is>
      </c>
      <c r="C263" t="inlineStr">
        <is>
          <t>KEYORRIS PTY LTD</t>
        </is>
      </c>
      <c r="D263" t="inlineStr">
        <is>
          <t>DOLLS POINT</t>
        </is>
      </c>
      <c r="E263" t="inlineStr">
        <is>
          <t>2219</t>
        </is>
      </c>
      <c r="F263" t="n">
        <v>20</v>
      </c>
      <c r="G263" t="inlineStr">
        <is>
          <t>Meeting NQS</t>
        </is>
      </c>
      <c r="H263" t="inlineStr">
        <is>
          <t>No</t>
        </is>
      </c>
      <c r="I263" t="inlineStr">
        <is>
          <t>No</t>
        </is>
      </c>
      <c r="J263" t="inlineStr">
        <is>
          <t>Yes</t>
        </is>
      </c>
      <c r="K263" s="9" t="n">
        <v>43452</v>
      </c>
      <c r="L263" s="10" t="n"/>
      <c r="M263" s="10" t="n"/>
      <c r="N263">
        <f>IFERROR(VLOOKUP(UPPER(D263),Suburb_LGA_Map!$A:$B,2,FALSE),"")</f>
        <v/>
      </c>
      <c r="O263" s="3" t="n">
        <v>1</v>
      </c>
      <c r="P263">
        <f>IF(K263="",0,IF(K263&gt;=DATE(2021,1,1),1,0))</f>
        <v/>
      </c>
      <c r="Q263">
        <f>IF(L263="",0,IF(L263&lt;TIME(7,0,0),1,0))</f>
        <v/>
      </c>
      <c r="R263">
        <f>IF(M263="",0,IF(M263&gt;TIME(18,0,0),1,0))</f>
        <v/>
      </c>
      <c r="S263">
        <f>IF(AND(H263="Yes",O263=1,COUNTIFS($C$2:C263,C263,$N$2:N263,N263,$H$2:H263,"Yes",$O$2:O263,1)=1),1,0)</f>
        <v/>
      </c>
      <c r="T263">
        <f>SUMIFS($F$2:$F$294,$C$2:$C$294,C263,$N$2:$N$294,N263,$H$2:$H$294,"Yes",$O$2:$O$294,1)</f>
        <v/>
      </c>
    </row>
    <row r="264">
      <c r="A264" t="inlineStr">
        <is>
          <t>SE-40014593</t>
        </is>
      </c>
      <c r="B264" t="inlineStr">
        <is>
          <t>Little Steps Early Learning Centre</t>
        </is>
      </c>
      <c r="C264" t="inlineStr">
        <is>
          <t>LITTLE STEPS EARLY LEARNING PTY LTD</t>
        </is>
      </c>
      <c r="D264" t="inlineStr">
        <is>
          <t>EAST LINDFIELD</t>
        </is>
      </c>
      <c r="E264" t="inlineStr">
        <is>
          <t>2070</t>
        </is>
      </c>
      <c r="F264" t="n">
        <v>40</v>
      </c>
      <c r="G264" t="inlineStr">
        <is>
          <t>Exceeding NQS</t>
        </is>
      </c>
      <c r="H264" t="inlineStr">
        <is>
          <t>Yes</t>
        </is>
      </c>
      <c r="I264" t="inlineStr">
        <is>
          <t>No</t>
        </is>
      </c>
      <c r="J264" t="inlineStr">
        <is>
          <t>No</t>
        </is>
      </c>
      <c r="K264" s="9" t="n">
        <v>43486</v>
      </c>
      <c r="L264" s="10" t="n">
        <v>0.2916666666666667</v>
      </c>
      <c r="M264" s="10" t="n">
        <v>0.75</v>
      </c>
      <c r="N264">
        <f>IFERROR(VLOOKUP(UPPER(D264),Suburb_LGA_Map!$A:$B,2,FALSE),"")</f>
        <v/>
      </c>
      <c r="O264" s="3" t="n">
        <v>1</v>
      </c>
      <c r="P264">
        <f>IF(K264="",0,IF(K264&gt;=DATE(2021,1,1),1,0))</f>
        <v/>
      </c>
      <c r="Q264">
        <f>IF(L264="",0,IF(L264&lt;TIME(7,0,0),1,0))</f>
        <v/>
      </c>
      <c r="R264">
        <f>IF(M264="",0,IF(M264&gt;TIME(18,0,0),1,0))</f>
        <v/>
      </c>
      <c r="S264">
        <f>IF(AND(H264="Yes",O264=1,COUNTIFS($C$2:C264,C264,$N$2:N264,N264,$H$2:H264,"Yes",$O$2:O264,1)=1),1,0)</f>
        <v/>
      </c>
      <c r="T264">
        <f>SUMIFS($F$2:$F$294,$C$2:$C$294,C264,$N$2:$N$294,N264,$H$2:$H$294,"Yes",$O$2:$O$294,1)</f>
        <v/>
      </c>
    </row>
    <row r="265">
      <c r="A265" t="inlineStr">
        <is>
          <t>SE-00007610</t>
        </is>
      </c>
      <c r="B265" t="inlineStr">
        <is>
          <t>Integricare Early Learning Centre Rockdale</t>
        </is>
      </c>
      <c r="C265" t="inlineStr">
        <is>
          <t>Integricare Limited</t>
        </is>
      </c>
      <c r="D265" t="inlineStr">
        <is>
          <t>ROCKDALE</t>
        </is>
      </c>
      <c r="E265" t="inlineStr">
        <is>
          <t>2216</t>
        </is>
      </c>
      <c r="F265" t="n">
        <v>51</v>
      </c>
      <c r="G265" t="inlineStr">
        <is>
          <t>Exceeding NQS</t>
        </is>
      </c>
      <c r="H265" t="inlineStr">
        <is>
          <t>Yes</t>
        </is>
      </c>
      <c r="I265" t="inlineStr">
        <is>
          <t>No</t>
        </is>
      </c>
      <c r="J265" t="inlineStr">
        <is>
          <t>No</t>
        </is>
      </c>
      <c r="K265" s="9" t="n">
        <v>40047</v>
      </c>
      <c r="L265" s="10" t="n">
        <v>0.3125</v>
      </c>
      <c r="M265" s="10" t="n">
        <v>0.75</v>
      </c>
      <c r="N265">
        <f>IFERROR(VLOOKUP(UPPER(D265),Suburb_LGA_Map!$A:$B,2,FALSE),"")</f>
        <v/>
      </c>
      <c r="O265" s="3" t="n">
        <v>1</v>
      </c>
      <c r="P265">
        <f>IF(K265="",0,IF(K265&gt;=DATE(2021,1,1),1,0))</f>
        <v/>
      </c>
      <c r="Q265">
        <f>IF(L265="",0,IF(L265&lt;TIME(7,0,0),1,0))</f>
        <v/>
      </c>
      <c r="R265">
        <f>IF(M265="",0,IF(M265&gt;TIME(18,0,0),1,0))</f>
        <v/>
      </c>
      <c r="S265">
        <f>IF(AND(H265="Yes",O265=1,COUNTIFS($C$2:C265,C265,$N$2:N265,N265,$H$2:H265,"Yes",$O$2:O265,1)=1),1,0)</f>
        <v/>
      </c>
      <c r="T265">
        <f>SUMIFS($F$2:$F$294,$C$2:$C$294,C265,$N$2:$N$294,N265,$H$2:$H$294,"Yes",$O$2:$O$294,1)</f>
        <v/>
      </c>
    </row>
    <row r="266">
      <c r="A266" t="inlineStr">
        <is>
          <t>SE-00007611</t>
        </is>
      </c>
      <c r="B266" t="inlineStr">
        <is>
          <t>Integricare Early Learning Centre Turrella</t>
        </is>
      </c>
      <c r="C266" t="inlineStr">
        <is>
          <t>Integricare Limited</t>
        </is>
      </c>
      <c r="D266" t="inlineStr">
        <is>
          <t>TURRELLA</t>
        </is>
      </c>
      <c r="E266" t="inlineStr">
        <is>
          <t>2205</t>
        </is>
      </c>
      <c r="F266" t="n">
        <v>64</v>
      </c>
      <c r="G266" t="inlineStr">
        <is>
          <t>Meeting NQS</t>
        </is>
      </c>
      <c r="H266" t="inlineStr">
        <is>
          <t>Yes</t>
        </is>
      </c>
      <c r="I266" t="inlineStr">
        <is>
          <t>No</t>
        </is>
      </c>
      <c r="J266" t="inlineStr">
        <is>
          <t>No</t>
        </is>
      </c>
      <c r="K266" s="9" t="n">
        <v>40043</v>
      </c>
      <c r="L266" s="10" t="n">
        <v>0.3125</v>
      </c>
      <c r="M266" s="10" t="n">
        <v>0.75</v>
      </c>
      <c r="N266">
        <f>IFERROR(VLOOKUP(UPPER(D266),Suburb_LGA_Map!$A:$B,2,FALSE),"")</f>
        <v/>
      </c>
      <c r="O266" s="3" t="n">
        <v>1</v>
      </c>
      <c r="P266">
        <f>IF(K266="",0,IF(K266&gt;=DATE(2021,1,1),1,0))</f>
        <v/>
      </c>
      <c r="Q266">
        <f>IF(L266="",0,IF(L266&lt;TIME(7,0,0),1,0))</f>
        <v/>
      </c>
      <c r="R266">
        <f>IF(M266="",0,IF(M266&gt;TIME(18,0,0),1,0))</f>
        <v/>
      </c>
      <c r="S266">
        <f>IF(AND(H266="Yes",O266=1,COUNTIFS($C$2:C266,C266,$N$2:N266,N266,$H$2:H266,"Yes",$O$2:O266,1)=1),1,0)</f>
        <v/>
      </c>
      <c r="T266">
        <f>SUMIFS($F$2:$F$294,$C$2:$C$294,C266,$N$2:$N$294,N266,$H$2:$H$294,"Yes",$O$2:$O$294,1)</f>
        <v/>
      </c>
    </row>
    <row r="267">
      <c r="A267" t="inlineStr">
        <is>
          <t>SE-00007674</t>
        </is>
      </c>
      <c r="B267" t="inlineStr">
        <is>
          <t>Toybox Early Learning</t>
        </is>
      </c>
      <c r="C267" t="inlineStr">
        <is>
          <t>Heavenly Grace Pty Ltd</t>
        </is>
      </c>
      <c r="D267" t="inlineStr">
        <is>
          <t>NORTH SYDNEY</t>
        </is>
      </c>
      <c r="E267" t="inlineStr">
        <is>
          <t>2060</t>
        </is>
      </c>
      <c r="F267" t="n">
        <v>38</v>
      </c>
      <c r="G267" t="inlineStr">
        <is>
          <t>Meeting NQS</t>
        </is>
      </c>
      <c r="H267" t="inlineStr">
        <is>
          <t>Yes</t>
        </is>
      </c>
      <c r="I267" t="inlineStr">
        <is>
          <t>No</t>
        </is>
      </c>
      <c r="J267" t="inlineStr">
        <is>
          <t>No</t>
        </is>
      </c>
      <c r="K267" s="9" t="n">
        <v>39750</v>
      </c>
      <c r="L267" s="10" t="n">
        <v>0.3125</v>
      </c>
      <c r="M267" s="10" t="n">
        <v>0.75</v>
      </c>
      <c r="N267">
        <f>IFERROR(VLOOKUP(UPPER(D267),Suburb_LGA_Map!$A:$B,2,FALSE),"")</f>
        <v/>
      </c>
      <c r="O267" s="3" t="n">
        <v>1</v>
      </c>
      <c r="P267">
        <f>IF(K267="",0,IF(K267&gt;=DATE(2021,1,1),1,0))</f>
        <v/>
      </c>
      <c r="Q267">
        <f>IF(L267="",0,IF(L267&lt;TIME(7,0,0),1,0))</f>
        <v/>
      </c>
      <c r="R267">
        <f>IF(M267="",0,IF(M267&gt;TIME(18,0,0),1,0))</f>
        <v/>
      </c>
      <c r="S267">
        <f>IF(AND(H267="Yes",O267=1,COUNTIFS($C$2:C267,C267,$N$2:N267,N267,$H$2:H267,"Yes",$O$2:O267,1)=1),1,0)</f>
        <v/>
      </c>
      <c r="T267">
        <f>SUMIFS($F$2:$F$294,$C$2:$C$294,C267,$N$2:$N$294,N267,$H$2:$H$294,"Yes",$O$2:$O$294,1)</f>
        <v/>
      </c>
    </row>
    <row r="268">
      <c r="A268" t="inlineStr">
        <is>
          <t>SE-00007685</t>
        </is>
      </c>
      <c r="B268" t="inlineStr">
        <is>
          <t>John Brotchie Nursery School</t>
        </is>
      </c>
      <c r="C268" t="inlineStr">
        <is>
          <t>Department of Education</t>
        </is>
      </c>
      <c r="D268" t="inlineStr">
        <is>
          <t>BOTANY</t>
        </is>
      </c>
      <c r="E268" t="inlineStr">
        <is>
          <t>2019</t>
        </is>
      </c>
      <c r="F268" t="n">
        <v>40</v>
      </c>
      <c r="G268" t="inlineStr">
        <is>
          <t>Exceeding NQS</t>
        </is>
      </c>
      <c r="H268" t="inlineStr">
        <is>
          <t>No</t>
        </is>
      </c>
      <c r="I268" t="inlineStr">
        <is>
          <t>Yes</t>
        </is>
      </c>
      <c r="J268" t="inlineStr">
        <is>
          <t>No</t>
        </is>
      </c>
      <c r="K268" s="9" t="n">
        <v>40437</v>
      </c>
      <c r="L268" s="10" t="n">
        <v>0.375</v>
      </c>
      <c r="M268" s="10" t="n">
        <v>0.625</v>
      </c>
      <c r="N268">
        <f>IFERROR(VLOOKUP(UPPER(D268),Suburb_LGA_Map!$A:$B,2,FALSE),"")</f>
        <v/>
      </c>
      <c r="O268" s="3" t="n">
        <v>1</v>
      </c>
      <c r="P268">
        <f>IF(K268="",0,IF(K268&gt;=DATE(2021,1,1),1,0))</f>
        <v/>
      </c>
      <c r="Q268">
        <f>IF(L268="",0,IF(L268&lt;TIME(7,0,0),1,0))</f>
        <v/>
      </c>
      <c r="R268">
        <f>IF(M268="",0,IF(M268&gt;TIME(18,0,0),1,0))</f>
        <v/>
      </c>
      <c r="S268">
        <f>IF(AND(H268="Yes",O268=1,COUNTIFS($C$2:C268,C268,$N$2:N268,N268,$H$2:H268,"Yes",$O$2:O268,1)=1),1,0)</f>
        <v/>
      </c>
      <c r="T268">
        <f>SUMIFS($F$2:$F$294,$C$2:$C$294,C268,$N$2:$N$294,N268,$H$2:$H$294,"Yes",$O$2:$O$294,1)</f>
        <v/>
      </c>
    </row>
    <row r="269">
      <c r="A269" t="inlineStr">
        <is>
          <t>SE-40008393</t>
        </is>
      </c>
      <c r="B269" t="inlineStr">
        <is>
          <t>St Aloysius College, Kirribilli OSHC- Extend</t>
        </is>
      </c>
      <c r="C269" t="inlineStr">
        <is>
          <t>Extend (Australia) Pty Ltd</t>
        </is>
      </c>
      <c r="D269" t="inlineStr">
        <is>
          <t>MILSONS POINT</t>
        </is>
      </c>
      <c r="E269" t="inlineStr">
        <is>
          <t>2061</t>
        </is>
      </c>
      <c r="F269" t="n">
        <v>24</v>
      </c>
      <c r="G269" t="inlineStr">
        <is>
          <t>Meeting NQS</t>
        </is>
      </c>
      <c r="H269" t="inlineStr">
        <is>
          <t>No</t>
        </is>
      </c>
      <c r="I269" t="inlineStr">
        <is>
          <t>No</t>
        </is>
      </c>
      <c r="J269" t="inlineStr">
        <is>
          <t>Yes</t>
        </is>
      </c>
      <c r="K269" s="9" t="n">
        <v>42724</v>
      </c>
      <c r="L269" s="10" t="n"/>
      <c r="M269" s="10" t="n"/>
      <c r="N269">
        <f>IFERROR(VLOOKUP(UPPER(D269),Suburb_LGA_Map!$A:$B,2,FALSE),"")</f>
        <v/>
      </c>
      <c r="O269" s="3" t="n">
        <v>1</v>
      </c>
      <c r="P269">
        <f>IF(K269="",0,IF(K269&gt;=DATE(2021,1,1),1,0))</f>
        <v/>
      </c>
      <c r="Q269">
        <f>IF(L269="",0,IF(L269&lt;TIME(7,0,0),1,0))</f>
        <v/>
      </c>
      <c r="R269">
        <f>IF(M269="",0,IF(M269&gt;TIME(18,0,0),1,0))</f>
        <v/>
      </c>
      <c r="S269">
        <f>IF(AND(H269="Yes",O269=1,COUNTIFS($C$2:C269,C269,$N$2:N269,N269,$H$2:H269,"Yes",$O$2:O269,1)=1),1,0)</f>
        <v/>
      </c>
      <c r="T269">
        <f>SUMIFS($F$2:$F$294,$C$2:$C$294,C269,$N$2:$N$294,N269,$H$2:$H$294,"Yes",$O$2:$O$294,1)</f>
        <v/>
      </c>
    </row>
    <row r="270">
      <c r="A270" t="inlineStr">
        <is>
          <t>SE-40008598</t>
        </is>
      </c>
      <c r="B270" t="inlineStr">
        <is>
          <t>Kids Klub Wahroonga</t>
        </is>
      </c>
      <c r="C270" t="inlineStr">
        <is>
          <t>P B &amp; JAY PTY LTD</t>
        </is>
      </c>
      <c r="D270" t="inlineStr">
        <is>
          <t>WAHROONGA</t>
        </is>
      </c>
      <c r="E270" t="inlineStr">
        <is>
          <t>2076</t>
        </is>
      </c>
      <c r="F270" t="n">
        <v>80</v>
      </c>
      <c r="G270" t="inlineStr">
        <is>
          <t>Meeting NQS</t>
        </is>
      </c>
      <c r="H270" t="inlineStr">
        <is>
          <t>No</t>
        </is>
      </c>
      <c r="I270" t="inlineStr">
        <is>
          <t>No</t>
        </is>
      </c>
      <c r="J270" t="inlineStr">
        <is>
          <t>Yes</t>
        </is>
      </c>
      <c r="K270" s="9" t="n">
        <v>42816</v>
      </c>
      <c r="L270" s="10" t="n"/>
      <c r="M270" s="10" t="n"/>
      <c r="N270">
        <f>IFERROR(VLOOKUP(UPPER(D270),Suburb_LGA_Map!$A:$B,2,FALSE),"")</f>
        <v/>
      </c>
      <c r="O270" s="3" t="n">
        <v>1</v>
      </c>
      <c r="P270">
        <f>IF(K270="",0,IF(K270&gt;=DATE(2021,1,1),1,0))</f>
        <v/>
      </c>
      <c r="Q270">
        <f>IF(L270="",0,IF(L270&lt;TIME(7,0,0),1,0))</f>
        <v/>
      </c>
      <c r="R270">
        <f>IF(M270="",0,IF(M270&gt;TIME(18,0,0),1,0))</f>
        <v/>
      </c>
      <c r="S270">
        <f>IF(AND(H270="Yes",O270=1,COUNTIFS($C$2:C270,C270,$N$2:N270,N270,$H$2:H270,"Yes",$O$2:O270,1)=1),1,0)</f>
        <v/>
      </c>
      <c r="T270">
        <f>SUMIFS($F$2:$F$294,$C$2:$C$294,C270,$N$2:$N$294,N270,$H$2:$H$294,"Yes",$O$2:$O$294,1)</f>
        <v/>
      </c>
    </row>
    <row r="271">
      <c r="A271" t="inlineStr">
        <is>
          <t>SE-40000366</t>
        </is>
      </c>
      <c r="B271" t="inlineStr">
        <is>
          <t>Sacred Heart Outside School Hours Care</t>
        </is>
      </c>
      <c r="C271" t="inlineStr">
        <is>
          <t>Catholiccare Diocese of Broken Bay</t>
        </is>
      </c>
      <c r="D271" t="inlineStr">
        <is>
          <t>PYMBLE</t>
        </is>
      </c>
      <c r="E271" t="inlineStr">
        <is>
          <t>2073</t>
        </is>
      </c>
      <c r="F271" t="n">
        <v>100</v>
      </c>
      <c r="G271" t="inlineStr">
        <is>
          <t>Meeting NQS</t>
        </is>
      </c>
      <c r="H271" t="inlineStr">
        <is>
          <t>No</t>
        </is>
      </c>
      <c r="I271" t="inlineStr">
        <is>
          <t>No</t>
        </is>
      </c>
      <c r="J271" t="inlineStr">
        <is>
          <t>Yes</t>
        </is>
      </c>
      <c r="K271" s="9" t="n">
        <v>41606</v>
      </c>
      <c r="L271" s="10" t="n"/>
      <c r="M271" s="10" t="n"/>
      <c r="N271">
        <f>IFERROR(VLOOKUP(UPPER(D271),Suburb_LGA_Map!$A:$B,2,FALSE),"")</f>
        <v/>
      </c>
      <c r="O271" s="3" t="n">
        <v>1</v>
      </c>
      <c r="P271">
        <f>IF(K271="",0,IF(K271&gt;=DATE(2021,1,1),1,0))</f>
        <v/>
      </c>
      <c r="Q271">
        <f>IF(L271="",0,IF(L271&lt;TIME(7,0,0),1,0))</f>
        <v/>
      </c>
      <c r="R271">
        <f>IF(M271="",0,IF(M271&gt;TIME(18,0,0),1,0))</f>
        <v/>
      </c>
      <c r="S271">
        <f>IF(AND(H271="Yes",O271=1,COUNTIFS($C$2:C271,C271,$N$2:N271,N271,$H$2:H271,"Yes",$O$2:O271,1)=1),1,0)</f>
        <v/>
      </c>
      <c r="T271">
        <f>SUMIFS($F$2:$F$294,$C$2:$C$294,C271,$N$2:$N$294,N271,$H$2:$H$294,"Yes",$O$2:$O$294,1)</f>
        <v/>
      </c>
    </row>
    <row r="272">
      <c r="A272" t="inlineStr">
        <is>
          <t>SE-40000397</t>
        </is>
      </c>
      <c r="B272" t="inlineStr">
        <is>
          <t>OLPS FJs Outside School Hours Care</t>
        </is>
      </c>
      <c r="C272" t="inlineStr">
        <is>
          <t>Catholiccare Diocese of Broken Bay</t>
        </is>
      </c>
      <c r="D272" t="inlineStr">
        <is>
          <t>WEST PYMBLE</t>
        </is>
      </c>
      <c r="E272" t="inlineStr">
        <is>
          <t>2073</t>
        </is>
      </c>
      <c r="F272" t="n">
        <v>60</v>
      </c>
      <c r="G272" t="inlineStr">
        <is>
          <t>Meeting NQS</t>
        </is>
      </c>
      <c r="H272" t="inlineStr">
        <is>
          <t>No</t>
        </is>
      </c>
      <c r="I272" t="inlineStr">
        <is>
          <t>No</t>
        </is>
      </c>
      <c r="J272" t="inlineStr">
        <is>
          <t>Yes</t>
        </is>
      </c>
      <c r="K272" s="9" t="n">
        <v>41451</v>
      </c>
      <c r="L272" s="10" t="n"/>
      <c r="M272" s="10" t="n"/>
      <c r="N272">
        <f>IFERROR(VLOOKUP(UPPER(D272),Suburb_LGA_Map!$A:$B,2,FALSE),"")</f>
        <v/>
      </c>
      <c r="O272" s="3" t="n">
        <v>1</v>
      </c>
      <c r="P272">
        <f>IF(K272="",0,IF(K272&gt;=DATE(2021,1,1),1,0))</f>
        <v/>
      </c>
      <c r="Q272">
        <f>IF(L272="",0,IF(L272&lt;TIME(7,0,0),1,0))</f>
        <v/>
      </c>
      <c r="R272">
        <f>IF(M272="",0,IF(M272&gt;TIME(18,0,0),1,0))</f>
        <v/>
      </c>
      <c r="S272">
        <f>IF(AND(H272="Yes",O272=1,COUNTIFS($C$2:C272,C272,$N$2:N272,N272,$H$2:H272,"Yes",$O$2:O272,1)=1),1,0)</f>
        <v/>
      </c>
      <c r="T272">
        <f>SUMIFS($F$2:$F$294,$C$2:$C$294,C272,$N$2:$N$294,N272,$H$2:$H$294,"Yes",$O$2:$O$294,1)</f>
        <v/>
      </c>
    </row>
    <row r="273">
      <c r="A273" t="inlineStr">
        <is>
          <t>SE-40000432</t>
        </is>
      </c>
      <c r="B273" t="inlineStr">
        <is>
          <t>Sydney Family Day Care Scheme</t>
        </is>
      </c>
      <c r="C273" t="inlineStr">
        <is>
          <t>Early Childhood Education Australia Pty Ltd</t>
        </is>
      </c>
      <c r="D273" t="inlineStr">
        <is>
          <t>ST LEONARDS</t>
        </is>
      </c>
      <c r="E273" t="inlineStr">
        <is>
          <t>2065</t>
        </is>
      </c>
      <c r="F273" t="n">
        <v>0</v>
      </c>
      <c r="G273" t="inlineStr">
        <is>
          <t>Meeting NQS</t>
        </is>
      </c>
      <c r="H273" t="inlineStr">
        <is>
          <t>No</t>
        </is>
      </c>
      <c r="I273" t="inlineStr">
        <is>
          <t>No</t>
        </is>
      </c>
      <c r="J273" t="inlineStr">
        <is>
          <t>No</t>
        </is>
      </c>
      <c r="K273" s="9" t="n">
        <v>41358</v>
      </c>
      <c r="L273" s="10" t="n">
        <v>0.2916666666666667</v>
      </c>
      <c r="M273" s="10" t="n">
        <v>0.75</v>
      </c>
      <c r="N273">
        <f>IFERROR(VLOOKUP(UPPER(D273),Suburb_LGA_Map!$A:$B,2,FALSE),"")</f>
        <v/>
      </c>
      <c r="O273" s="3" t="n">
        <v>1</v>
      </c>
      <c r="P273">
        <f>IF(K273="",0,IF(K273&gt;=DATE(2021,1,1),1,0))</f>
        <v/>
      </c>
      <c r="Q273">
        <f>IF(L273="",0,IF(L273&lt;TIME(7,0,0),1,0))</f>
        <v/>
      </c>
      <c r="R273">
        <f>IF(M273="",0,IF(M273&gt;TIME(18,0,0),1,0))</f>
        <v/>
      </c>
      <c r="S273">
        <f>IF(AND(H273="Yes",O273=1,COUNTIFS($C$2:C273,C273,$N$2:N273,N273,$H$2:H273,"Yes",$O$2:O273,1)=1),1,0)</f>
        <v/>
      </c>
      <c r="T273">
        <f>SUMIFS($F$2:$F$294,$C$2:$C$294,C273,$N$2:$N$294,N273,$H$2:$H$294,"Yes",$O$2:$O$294,1)</f>
        <v/>
      </c>
    </row>
    <row r="274">
      <c r="A274" t="inlineStr">
        <is>
          <t>SE-40000529</t>
        </is>
      </c>
      <c r="B274" t="inlineStr">
        <is>
          <t>Out of School Hours Care Pymble Ladies' College</t>
        </is>
      </c>
      <c r="C274" t="inlineStr">
        <is>
          <t>Pymble Ladies' College</t>
        </is>
      </c>
      <c r="D274" t="inlineStr">
        <is>
          <t>PYMBLE</t>
        </is>
      </c>
      <c r="E274" t="inlineStr">
        <is>
          <t>2073</t>
        </is>
      </c>
      <c r="F274" t="n">
        <v>160</v>
      </c>
      <c r="G274" t="inlineStr">
        <is>
          <t>Meeting NQS</t>
        </is>
      </c>
      <c r="H274" t="inlineStr">
        <is>
          <t>No</t>
        </is>
      </c>
      <c r="I274" t="inlineStr">
        <is>
          <t>No</t>
        </is>
      </c>
      <c r="J274" t="inlineStr">
        <is>
          <t>Yes</t>
        </is>
      </c>
      <c r="K274" s="9" t="n">
        <v>41466</v>
      </c>
      <c r="L274" s="10" t="n"/>
      <c r="M274" s="10" t="n"/>
      <c r="N274">
        <f>IFERROR(VLOOKUP(UPPER(D274),Suburb_LGA_Map!$A:$B,2,FALSE),"")</f>
        <v/>
      </c>
      <c r="O274" s="3" t="n">
        <v>1</v>
      </c>
      <c r="P274">
        <f>IF(K274="",0,IF(K274&gt;=DATE(2021,1,1),1,0))</f>
        <v/>
      </c>
      <c r="Q274">
        <f>IF(L274="",0,IF(L274&lt;TIME(7,0,0),1,0))</f>
        <v/>
      </c>
      <c r="R274">
        <f>IF(M274="",0,IF(M274&gt;TIME(18,0,0),1,0))</f>
        <v/>
      </c>
      <c r="S274">
        <f>IF(AND(H274="Yes",O274=1,COUNTIFS($C$2:C274,C274,$N$2:N274,N274,$H$2:H274,"Yes",$O$2:O274,1)=1),1,0)</f>
        <v/>
      </c>
      <c r="T274">
        <f>SUMIFS($F$2:$F$294,$C$2:$C$294,C274,$N$2:$N$294,N274,$H$2:$H$294,"Yes",$O$2:$O$294,1)</f>
        <v/>
      </c>
    </row>
    <row r="275">
      <c r="A275" t="inlineStr">
        <is>
          <t>SE-40026542</t>
        </is>
      </c>
      <c r="B275" t="inlineStr">
        <is>
          <t>CommunityOSH Lindfield Prep K-6</t>
        </is>
      </c>
      <c r="C275" t="inlineStr">
        <is>
          <t>COMMUNITYOSH PTY LTD</t>
        </is>
      </c>
      <c r="D275" t="inlineStr">
        <is>
          <t>LINDFIELD</t>
        </is>
      </c>
      <c r="E275" t="inlineStr">
        <is>
          <t>2070</t>
        </is>
      </c>
      <c r="F275" t="n">
        <v>30</v>
      </c>
      <c r="G275" t="inlineStr">
        <is>
          <t>Meeting NQS</t>
        </is>
      </c>
      <c r="H275" t="inlineStr">
        <is>
          <t>No</t>
        </is>
      </c>
      <c r="I275" t="inlineStr">
        <is>
          <t>No</t>
        </is>
      </c>
      <c r="J275" t="inlineStr">
        <is>
          <t>Yes</t>
        </is>
      </c>
      <c r="K275" s="9" t="n">
        <v>45203</v>
      </c>
      <c r="L275" s="10" t="n"/>
      <c r="M275" s="10" t="n"/>
      <c r="N275">
        <f>IFERROR(VLOOKUP(UPPER(D275),Suburb_LGA_Map!$A:$B,2,FALSE),"")</f>
        <v/>
      </c>
      <c r="O275" s="3" t="n">
        <v>1</v>
      </c>
      <c r="P275">
        <f>IF(K275="",0,IF(K275&gt;=DATE(2021,1,1),1,0))</f>
        <v/>
      </c>
      <c r="Q275">
        <f>IF(L275="",0,IF(L275&lt;TIME(7,0,0),1,0))</f>
        <v/>
      </c>
      <c r="R275">
        <f>IF(M275="",0,IF(M275&gt;TIME(18,0,0),1,0))</f>
        <v/>
      </c>
      <c r="S275">
        <f>IF(AND(H275="Yes",O275=1,COUNTIFS($C$2:C275,C275,$N$2:N275,N275,$H$2:H275,"Yes",$O$2:O275,1)=1),1,0)</f>
        <v/>
      </c>
      <c r="T275">
        <f>SUMIFS($F$2:$F$294,$C$2:$C$294,C275,$N$2:$N$294,N275,$H$2:$H$294,"Yes",$O$2:$O$294,1)</f>
        <v/>
      </c>
    </row>
    <row r="276">
      <c r="A276" t="inlineStr">
        <is>
          <t>SE-40026768</t>
        </is>
      </c>
      <c r="B276" t="inlineStr">
        <is>
          <t>Camp Australia - Banksmeadow Public School OSHC</t>
        </is>
      </c>
      <c r="C276" t="inlineStr">
        <is>
          <t>Camp Australia Pty Limited</t>
        </is>
      </c>
      <c r="D276" t="inlineStr">
        <is>
          <t>BOTANY</t>
        </is>
      </c>
      <c r="E276" t="inlineStr">
        <is>
          <t>2019</t>
        </is>
      </c>
      <c r="F276" t="n">
        <v>43</v>
      </c>
      <c r="G276" t="inlineStr">
        <is>
          <t>Meeting NQS</t>
        </is>
      </c>
      <c r="H276" t="inlineStr">
        <is>
          <t>No</t>
        </is>
      </c>
      <c r="I276" t="inlineStr">
        <is>
          <t>No</t>
        </is>
      </c>
      <c r="J276" t="inlineStr">
        <is>
          <t>Yes</t>
        </is>
      </c>
      <c r="K276" s="9" t="n">
        <v>45121</v>
      </c>
      <c r="L276" s="10" t="n"/>
      <c r="M276" s="10" t="n"/>
      <c r="N276">
        <f>IFERROR(VLOOKUP(UPPER(D276),Suburb_LGA_Map!$A:$B,2,FALSE),"")</f>
        <v/>
      </c>
      <c r="O276" s="3" t="n">
        <v>1</v>
      </c>
      <c r="P276">
        <f>IF(K276="",0,IF(K276&gt;=DATE(2021,1,1),1,0))</f>
        <v/>
      </c>
      <c r="Q276">
        <f>IF(L276="",0,IF(L276&lt;TIME(7,0,0),1,0))</f>
        <v/>
      </c>
      <c r="R276">
        <f>IF(M276="",0,IF(M276&gt;TIME(18,0,0),1,0))</f>
        <v/>
      </c>
      <c r="S276">
        <f>IF(AND(H276="Yes",O276=1,COUNTIFS($C$2:C276,C276,$N$2:N276,N276,$H$2:H276,"Yes",$O$2:O276,1)=1),1,0)</f>
        <v/>
      </c>
      <c r="T276">
        <f>SUMIFS($F$2:$F$294,$C$2:$C$294,C276,$N$2:$N$294,N276,$H$2:$H$294,"Yes",$O$2:$O$294,1)</f>
        <v/>
      </c>
    </row>
    <row r="277">
      <c r="A277" t="inlineStr">
        <is>
          <t>SE-00007524</t>
        </is>
      </c>
      <c r="B277" t="inlineStr">
        <is>
          <t>Heritage House Turramurra Early Education Centre</t>
        </is>
      </c>
      <c r="C277" t="inlineStr">
        <is>
          <t>Hoomayun Tirandaz Kermani</t>
        </is>
      </c>
      <c r="D277" t="inlineStr">
        <is>
          <t>TURRAMURRA</t>
        </is>
      </c>
      <c r="E277" t="inlineStr">
        <is>
          <t>2074</t>
        </is>
      </c>
      <c r="F277" t="n">
        <v>35</v>
      </c>
      <c r="G277" t="inlineStr">
        <is>
          <t>Exceeding NQS</t>
        </is>
      </c>
      <c r="H277" t="inlineStr">
        <is>
          <t>Yes</t>
        </is>
      </c>
      <c r="I277" t="inlineStr">
        <is>
          <t>No</t>
        </is>
      </c>
      <c r="J277" t="inlineStr">
        <is>
          <t>No</t>
        </is>
      </c>
      <c r="K277" s="9" t="n">
        <v>39899</v>
      </c>
      <c r="L277" s="10" t="n">
        <v>0.3125</v>
      </c>
      <c r="M277" s="10" t="n">
        <v>0.7708333333333334</v>
      </c>
      <c r="N277">
        <f>IFERROR(VLOOKUP(UPPER(D277),Suburb_LGA_Map!$A:$B,2,FALSE),"")</f>
        <v/>
      </c>
      <c r="O277" s="3" t="n">
        <v>1</v>
      </c>
      <c r="P277">
        <f>IF(K277="",0,IF(K277&gt;=DATE(2021,1,1),1,0))</f>
        <v/>
      </c>
      <c r="Q277">
        <f>IF(L277="",0,IF(L277&lt;TIME(7,0,0),1,0))</f>
        <v/>
      </c>
      <c r="R277">
        <f>IF(M277="",0,IF(M277&gt;TIME(18,0,0),1,0))</f>
        <v/>
      </c>
      <c r="S277">
        <f>IF(AND(H277="Yes",O277=1,COUNTIFS($C$2:C277,C277,$N$2:N277,N277,$H$2:H277,"Yes",$O$2:O277,1)=1),1,0)</f>
        <v/>
      </c>
      <c r="T277">
        <f>SUMIFS($F$2:$F$294,$C$2:$C$294,C277,$N$2:$N$294,N277,$H$2:$H$294,"Yes",$O$2:$O$294,1)</f>
        <v/>
      </c>
    </row>
    <row r="278">
      <c r="A278" t="inlineStr">
        <is>
          <t>SE-00007525</t>
        </is>
      </c>
      <c r="B278" t="inlineStr">
        <is>
          <t>Hibiscus Children's Centre</t>
        </is>
      </c>
      <c r="C278" t="inlineStr">
        <is>
          <t>Hibiscus Childrens Centre Inc</t>
        </is>
      </c>
      <c r="D278" t="inlineStr">
        <is>
          <t>DACEYVILLE</t>
        </is>
      </c>
      <c r="E278" t="inlineStr">
        <is>
          <t>2032</t>
        </is>
      </c>
      <c r="F278" t="n">
        <v>28</v>
      </c>
      <c r="G278" t="inlineStr">
        <is>
          <t>Meeting NQS</t>
        </is>
      </c>
      <c r="H278" t="inlineStr">
        <is>
          <t>No</t>
        </is>
      </c>
      <c r="I278" t="inlineStr">
        <is>
          <t>Yes</t>
        </is>
      </c>
      <c r="J278" t="inlineStr">
        <is>
          <t>No</t>
        </is>
      </c>
      <c r="K278" s="9" t="n">
        <v>38961</v>
      </c>
      <c r="L278" s="10" t="n">
        <v>0.3541666666666667</v>
      </c>
      <c r="M278" s="10" t="n">
        <v>0.6875</v>
      </c>
      <c r="N278">
        <f>IFERROR(VLOOKUP(UPPER(D278),Suburb_LGA_Map!$A:$B,2,FALSE),"")</f>
        <v/>
      </c>
      <c r="O278" s="3" t="n">
        <v>1</v>
      </c>
      <c r="P278">
        <f>IF(K278="",0,IF(K278&gt;=DATE(2021,1,1),1,0))</f>
        <v/>
      </c>
      <c r="Q278">
        <f>IF(L278="",0,IF(L278&lt;TIME(7,0,0),1,0))</f>
        <v/>
      </c>
      <c r="R278">
        <f>IF(M278="",0,IF(M278&gt;TIME(18,0,0),1,0))</f>
        <v/>
      </c>
      <c r="S278">
        <f>IF(AND(H278="Yes",O278=1,COUNTIFS($C$2:C278,C278,$N$2:N278,N278,$H$2:H278,"Yes",$O$2:O278,1)=1),1,0)</f>
        <v/>
      </c>
      <c r="T278">
        <f>SUMIFS($F$2:$F$294,$C$2:$C$294,C278,$N$2:$N$294,N278,$H$2:$H$294,"Yes",$O$2:$O$294,1)</f>
        <v/>
      </c>
    </row>
    <row r="279">
      <c r="A279" t="inlineStr">
        <is>
          <t>SE-00007527</t>
        </is>
      </c>
      <c r="B279" t="inlineStr">
        <is>
          <t>Highfields Kindergarten</t>
        </is>
      </c>
      <c r="C279" t="inlineStr">
        <is>
          <t>Highfield Preparatory &amp; Kindergarten School Ltd</t>
        </is>
      </c>
      <c r="D279" t="inlineStr">
        <is>
          <t>LINDFIELD</t>
        </is>
      </c>
      <c r="E279" t="inlineStr">
        <is>
          <t>2070</t>
        </is>
      </c>
      <c r="F279" t="n">
        <v>60</v>
      </c>
      <c r="G279" t="inlineStr">
        <is>
          <t>Exceeding NQS</t>
        </is>
      </c>
      <c r="H279" t="inlineStr">
        <is>
          <t>No</t>
        </is>
      </c>
      <c r="I279" t="inlineStr">
        <is>
          <t>No</t>
        </is>
      </c>
      <c r="J279" t="inlineStr">
        <is>
          <t>No</t>
        </is>
      </c>
      <c r="K279" s="9" t="n">
        <v>39262</v>
      </c>
      <c r="L279" s="10" t="n">
        <v>0.3645833333333333</v>
      </c>
      <c r="M279" s="10" t="n">
        <v>0.625</v>
      </c>
      <c r="N279">
        <f>IFERROR(VLOOKUP(UPPER(D279),Suburb_LGA_Map!$A:$B,2,FALSE),"")</f>
        <v/>
      </c>
      <c r="O279" s="3" t="n">
        <v>1</v>
      </c>
      <c r="P279">
        <f>IF(K279="",0,IF(K279&gt;=DATE(2021,1,1),1,0))</f>
        <v/>
      </c>
      <c r="Q279">
        <f>IF(L279="",0,IF(L279&lt;TIME(7,0,0),1,0))</f>
        <v/>
      </c>
      <c r="R279">
        <f>IF(M279="",0,IF(M279&gt;TIME(18,0,0),1,0))</f>
        <v/>
      </c>
      <c r="S279">
        <f>IF(AND(H279="Yes",O279=1,COUNTIFS($C$2:C279,C279,$N$2:N279,N279,$H$2:H279,"Yes",$O$2:O279,1)=1),1,0)</f>
        <v/>
      </c>
      <c r="T279">
        <f>SUMIFS($F$2:$F$294,$C$2:$C$294,C279,$N$2:$N$294,N279,$H$2:$H$294,"Yes",$O$2:$O$294,1)</f>
        <v/>
      </c>
    </row>
    <row r="280">
      <c r="A280" t="inlineStr">
        <is>
          <t>SE-00007536</t>
        </is>
      </c>
      <c r="B280" t="inlineStr">
        <is>
          <t>Hillsdale Early Education and Care Centre</t>
        </is>
      </c>
      <c r="C280" t="inlineStr">
        <is>
          <t>Bayside Council</t>
        </is>
      </c>
      <c r="D280" t="inlineStr">
        <is>
          <t>HILLSDALE</t>
        </is>
      </c>
      <c r="E280" t="inlineStr">
        <is>
          <t>2036</t>
        </is>
      </c>
      <c r="F280" t="n">
        <v>64</v>
      </c>
      <c r="G280" t="inlineStr">
        <is>
          <t>Exceeding NQS</t>
        </is>
      </c>
      <c r="H280" t="inlineStr">
        <is>
          <t>Yes</t>
        </is>
      </c>
      <c r="I280" t="inlineStr">
        <is>
          <t>No</t>
        </is>
      </c>
      <c r="J280" t="inlineStr">
        <is>
          <t>No</t>
        </is>
      </c>
      <c r="K280" s="9" t="n">
        <v>39429</v>
      </c>
      <c r="L280" s="10" t="n">
        <v>0.3125</v>
      </c>
      <c r="M280" s="10" t="n">
        <v>0.75</v>
      </c>
      <c r="N280">
        <f>IFERROR(VLOOKUP(UPPER(D280),Suburb_LGA_Map!$A:$B,2,FALSE),"")</f>
        <v/>
      </c>
      <c r="O280" s="3" t="n">
        <v>1</v>
      </c>
      <c r="P280">
        <f>IF(K280="",0,IF(K280&gt;=DATE(2021,1,1),1,0))</f>
        <v/>
      </c>
      <c r="Q280">
        <f>IF(L280="",0,IF(L280&lt;TIME(7,0,0),1,0))</f>
        <v/>
      </c>
      <c r="R280">
        <f>IF(M280="",0,IF(M280&gt;TIME(18,0,0),1,0))</f>
        <v/>
      </c>
      <c r="S280">
        <f>IF(AND(H280="Yes",O280=1,COUNTIFS($C$2:C280,C280,$N$2:N280,N280,$H$2:H280,"Yes",$O$2:O280,1)=1),1,0)</f>
        <v/>
      </c>
      <c r="T280">
        <f>SUMIFS($F$2:$F$294,$C$2:$C$294,C280,$N$2:$N$294,N280,$H$2:$H$294,"Yes",$O$2:$O$294,1)</f>
        <v/>
      </c>
    </row>
    <row r="281">
      <c r="A281" t="inlineStr">
        <is>
          <t>SE-00007544</t>
        </is>
      </c>
      <c r="B281" t="inlineStr">
        <is>
          <t>Hippo's Friends Long Day Child Care Centre</t>
        </is>
      </c>
      <c r="C281" t="inlineStr">
        <is>
          <t>Heike Jordan-Busch</t>
        </is>
      </c>
      <c r="D281" t="inlineStr">
        <is>
          <t>BOTANY</t>
        </is>
      </c>
      <c r="E281" t="inlineStr">
        <is>
          <t>2019</t>
        </is>
      </c>
      <c r="F281" t="n">
        <v>43</v>
      </c>
      <c r="G281" t="inlineStr">
        <is>
          <t>Meeting NQS</t>
        </is>
      </c>
      <c r="H281" t="inlineStr">
        <is>
          <t>Yes</t>
        </is>
      </c>
      <c r="I281" t="inlineStr">
        <is>
          <t>No</t>
        </is>
      </c>
      <c r="J281" t="inlineStr">
        <is>
          <t>No</t>
        </is>
      </c>
      <c r="K281" s="9" t="n">
        <v>39710</v>
      </c>
      <c r="L281" s="10" t="n">
        <v>0.2916666666666667</v>
      </c>
      <c r="M281" s="10" t="n">
        <v>0.75</v>
      </c>
      <c r="N281">
        <f>IFERROR(VLOOKUP(UPPER(D281),Suburb_LGA_Map!$A:$B,2,FALSE),"")</f>
        <v/>
      </c>
      <c r="O281" s="3" t="n">
        <v>1</v>
      </c>
      <c r="P281">
        <f>IF(K281="",0,IF(K281&gt;=DATE(2021,1,1),1,0))</f>
        <v/>
      </c>
      <c r="Q281">
        <f>IF(L281="",0,IF(L281&lt;TIME(7,0,0),1,0))</f>
        <v/>
      </c>
      <c r="R281">
        <f>IF(M281="",0,IF(M281&gt;TIME(18,0,0),1,0))</f>
        <v/>
      </c>
      <c r="S281">
        <f>IF(AND(H281="Yes",O281=1,COUNTIFS($C$2:C281,C281,$N$2:N281,N281,$H$2:H281,"Yes",$O$2:O281,1)=1),1,0)</f>
        <v/>
      </c>
      <c r="T281">
        <f>SUMIFS($F$2:$F$294,$C$2:$C$294,C281,$N$2:$N$294,N281,$H$2:$H$294,"Yes",$O$2:$O$294,1)</f>
        <v/>
      </c>
    </row>
    <row r="282">
      <c r="A282" t="inlineStr">
        <is>
          <t>SE-00007562</t>
        </is>
      </c>
      <c r="B282" t="inlineStr">
        <is>
          <t>Blossom Preschool</t>
        </is>
      </c>
      <c r="C282" t="inlineStr">
        <is>
          <t>R2 EDUCATION PTY LTD ATF EDREES TRUST</t>
        </is>
      </c>
      <c r="D282" t="inlineStr">
        <is>
          <t>SANS SOUCI</t>
        </is>
      </c>
      <c r="E282" t="inlineStr">
        <is>
          <t>2219</t>
        </is>
      </c>
      <c r="F282" t="n">
        <v>44</v>
      </c>
      <c r="G282" t="inlineStr">
        <is>
          <t>Meeting NQS</t>
        </is>
      </c>
      <c r="H282" t="inlineStr">
        <is>
          <t>Yes</t>
        </is>
      </c>
      <c r="I282" t="inlineStr">
        <is>
          <t>No</t>
        </is>
      </c>
      <c r="J282" t="inlineStr">
        <is>
          <t>No</t>
        </is>
      </c>
      <c r="K282" s="9" t="n">
        <v>39721</v>
      </c>
      <c r="L282" s="10" t="n">
        <v>0.2916666666666667</v>
      </c>
      <c r="M282" s="10" t="n">
        <v>0.75</v>
      </c>
      <c r="N282">
        <f>IFERROR(VLOOKUP(UPPER(D282),Suburb_LGA_Map!$A:$B,2,FALSE),"")</f>
        <v/>
      </c>
      <c r="O282" s="3" t="n">
        <v>1</v>
      </c>
      <c r="P282">
        <f>IF(K282="",0,IF(K282&gt;=DATE(2021,1,1),1,0))</f>
        <v/>
      </c>
      <c r="Q282">
        <f>IF(L282="",0,IF(L282&lt;TIME(7,0,0),1,0))</f>
        <v/>
      </c>
      <c r="R282">
        <f>IF(M282="",0,IF(M282&gt;TIME(18,0,0),1,0))</f>
        <v/>
      </c>
      <c r="S282">
        <f>IF(AND(H282="Yes",O282=1,COUNTIFS($C$2:C282,C282,$N$2:N282,N282,$H$2:H282,"Yes",$O$2:O282,1)=1),1,0)</f>
        <v/>
      </c>
      <c r="T282">
        <f>SUMIFS($F$2:$F$294,$C$2:$C$294,C282,$N$2:$N$294,N282,$H$2:$H$294,"Yes",$O$2:$O$294,1)</f>
        <v/>
      </c>
    </row>
    <row r="283">
      <c r="A283" t="inlineStr">
        <is>
          <t>SE-00012339</t>
        </is>
      </c>
      <c r="B283" t="inlineStr">
        <is>
          <t>North Sydney Community Centre</t>
        </is>
      </c>
      <c r="C283" t="inlineStr">
        <is>
          <t>North Sydney Community Centre Inc.</t>
        </is>
      </c>
      <c r="D283" t="inlineStr">
        <is>
          <t>NORTH SYDNEY</t>
        </is>
      </c>
      <c r="E283" t="inlineStr">
        <is>
          <t>2060</t>
        </is>
      </c>
      <c r="F283" t="n">
        <v>105</v>
      </c>
      <c r="G283" t="inlineStr">
        <is>
          <t>Meeting NQS</t>
        </is>
      </c>
      <c r="H283" t="inlineStr">
        <is>
          <t>No</t>
        </is>
      </c>
      <c r="I283" t="inlineStr">
        <is>
          <t>No</t>
        </is>
      </c>
      <c r="J283" t="inlineStr">
        <is>
          <t>Yes</t>
        </is>
      </c>
      <c r="K283" s="9" t="n">
        <v>41537</v>
      </c>
      <c r="L283" s="10" t="n"/>
      <c r="M283" s="10" t="n"/>
      <c r="N283">
        <f>IFERROR(VLOOKUP(UPPER(D283),Suburb_LGA_Map!$A:$B,2,FALSE),"")</f>
        <v/>
      </c>
      <c r="O283" s="3" t="n">
        <v>1</v>
      </c>
      <c r="P283">
        <f>IF(K283="",0,IF(K283&gt;=DATE(2021,1,1),1,0))</f>
        <v/>
      </c>
      <c r="Q283">
        <f>IF(L283="",0,IF(L283&lt;TIME(7,0,0),1,0))</f>
        <v/>
      </c>
      <c r="R283">
        <f>IF(M283="",0,IF(M283&gt;TIME(18,0,0),1,0))</f>
        <v/>
      </c>
      <c r="S283">
        <f>IF(AND(H283="Yes",O283=1,COUNTIFS($C$2:C283,C283,$N$2:N283,N283,$H$2:H283,"Yes",$O$2:O283,1)=1),1,0)</f>
        <v/>
      </c>
      <c r="T283">
        <f>SUMIFS($F$2:$F$294,$C$2:$C$294,C283,$N$2:$N$294,N283,$H$2:$H$294,"Yes",$O$2:$O$294,1)</f>
        <v/>
      </c>
    </row>
    <row r="284">
      <c r="A284" t="inlineStr">
        <is>
          <t>SE-40018359</t>
        </is>
      </c>
      <c r="B284" t="inlineStr">
        <is>
          <t>ORCHARD EARLY LEARNING CENTRE ST IVES</t>
        </is>
      </c>
      <c r="C284" t="inlineStr">
        <is>
          <t>Orchard Early Learning Centres Pty Ltd ATF The Orchard ELC Unit Trust</t>
        </is>
      </c>
      <c r="D284" t="inlineStr">
        <is>
          <t>ST IVES</t>
        </is>
      </c>
      <c r="E284" t="inlineStr">
        <is>
          <t>2075</t>
        </is>
      </c>
      <c r="F284" t="n">
        <v>98</v>
      </c>
      <c r="G284" t="inlineStr">
        <is>
          <t>Meeting NQS</t>
        </is>
      </c>
      <c r="H284" t="inlineStr">
        <is>
          <t>Yes</t>
        </is>
      </c>
      <c r="I284" t="inlineStr">
        <is>
          <t>No</t>
        </is>
      </c>
      <c r="J284" t="inlineStr">
        <is>
          <t>No</t>
        </is>
      </c>
      <c r="K284" s="9" t="n">
        <v>44004</v>
      </c>
      <c r="L284" s="10" t="n">
        <v>0.2916666666666667</v>
      </c>
      <c r="M284" s="10" t="n">
        <v>0.75</v>
      </c>
      <c r="N284">
        <f>IFERROR(VLOOKUP(UPPER(D284),Suburb_LGA_Map!$A:$B,2,FALSE),"")</f>
        <v/>
      </c>
      <c r="O284" s="3" t="n">
        <v>1</v>
      </c>
      <c r="P284">
        <f>IF(K284="",0,IF(K284&gt;=DATE(2021,1,1),1,0))</f>
        <v/>
      </c>
      <c r="Q284">
        <f>IF(L284="",0,IF(L284&lt;TIME(7,0,0),1,0))</f>
        <v/>
      </c>
      <c r="R284">
        <f>IF(M284="",0,IF(M284&gt;TIME(18,0,0),1,0))</f>
        <v/>
      </c>
      <c r="S284">
        <f>IF(AND(H284="Yes",O284=1,COUNTIFS($C$2:C284,C284,$N$2:N284,N284,$H$2:H284,"Yes",$O$2:O284,1)=1),1,0)</f>
        <v/>
      </c>
      <c r="T284">
        <f>SUMIFS($F$2:$F$294,$C$2:$C$294,C284,$N$2:$N$294,N284,$H$2:$H$294,"Yes",$O$2:$O$294,1)</f>
        <v/>
      </c>
    </row>
    <row r="285">
      <c r="A285" t="inlineStr">
        <is>
          <t>SE-40018396</t>
        </is>
      </c>
      <c r="B285" t="inlineStr">
        <is>
          <t>Explore &amp; Develop Roseville</t>
        </is>
      </c>
      <c r="C285" t="inlineStr">
        <is>
          <t>DONOHOE KIDS PTY LTD</t>
        </is>
      </c>
      <c r="D285" t="inlineStr">
        <is>
          <t>ROSEVILLE</t>
        </is>
      </c>
      <c r="E285" t="inlineStr">
        <is>
          <t>2069</t>
        </is>
      </c>
      <c r="F285" t="n">
        <v>98</v>
      </c>
      <c r="G285" t="inlineStr">
        <is>
          <t>Meeting NQS</t>
        </is>
      </c>
      <c r="H285" t="inlineStr">
        <is>
          <t>Yes</t>
        </is>
      </c>
      <c r="I285" t="inlineStr">
        <is>
          <t>No</t>
        </is>
      </c>
      <c r="J285" t="inlineStr">
        <is>
          <t>No</t>
        </is>
      </c>
      <c r="K285" s="9" t="n">
        <v>43928</v>
      </c>
      <c r="L285" s="10" t="n">
        <v>0.2916666666666667</v>
      </c>
      <c r="M285" s="10" t="n">
        <v>0.75</v>
      </c>
      <c r="N285">
        <f>IFERROR(VLOOKUP(UPPER(D285),Suburb_LGA_Map!$A:$B,2,FALSE),"")</f>
        <v/>
      </c>
      <c r="O285" s="3" t="n">
        <v>1</v>
      </c>
      <c r="P285">
        <f>IF(K285="",0,IF(K285&gt;=DATE(2021,1,1),1,0))</f>
        <v/>
      </c>
      <c r="Q285">
        <f>IF(L285="",0,IF(L285&lt;TIME(7,0,0),1,0))</f>
        <v/>
      </c>
      <c r="R285">
        <f>IF(M285="",0,IF(M285&gt;TIME(18,0,0),1,0))</f>
        <v/>
      </c>
      <c r="S285">
        <f>IF(AND(H285="Yes",O285=1,COUNTIFS($C$2:C285,C285,$N$2:N285,N285,$H$2:H285,"Yes",$O$2:O285,1)=1),1,0)</f>
        <v/>
      </c>
      <c r="T285">
        <f>SUMIFS($F$2:$F$294,$C$2:$C$294,C285,$N$2:$N$294,N285,$H$2:$H$294,"Yes",$O$2:$O$294,1)</f>
        <v/>
      </c>
    </row>
    <row r="286">
      <c r="A286" t="inlineStr">
        <is>
          <t>SE-40018613</t>
        </is>
      </c>
      <c r="B286" t="inlineStr">
        <is>
          <t>Sunshine Kidz</t>
        </is>
      </c>
      <c r="C286" t="inlineStr">
        <is>
          <t>ANGELS AT BEVERLY HILLS</t>
        </is>
      </c>
      <c r="D286" t="inlineStr">
        <is>
          <t>EASTLAKES</t>
        </is>
      </c>
      <c r="E286" t="inlineStr">
        <is>
          <t>2018</t>
        </is>
      </c>
      <c r="F286" t="n">
        <v>41</v>
      </c>
      <c r="G286" t="inlineStr">
        <is>
          <t>Meeting NQS</t>
        </is>
      </c>
      <c r="H286" t="inlineStr">
        <is>
          <t>No</t>
        </is>
      </c>
      <c r="I286" t="inlineStr">
        <is>
          <t>No</t>
        </is>
      </c>
      <c r="J286" t="inlineStr">
        <is>
          <t>Yes</t>
        </is>
      </c>
      <c r="K286" s="9" t="n">
        <v>43971</v>
      </c>
      <c r="L286" s="10" t="n"/>
      <c r="M286" s="10" t="n"/>
      <c r="N286">
        <f>IFERROR(VLOOKUP(UPPER(D286),Suburb_LGA_Map!$A:$B,2,FALSE),"")</f>
        <v/>
      </c>
      <c r="O286" s="3" t="n">
        <v>1</v>
      </c>
      <c r="P286">
        <f>IF(K286="",0,IF(K286&gt;=DATE(2021,1,1),1,0))</f>
        <v/>
      </c>
      <c r="Q286">
        <f>IF(L286="",0,IF(L286&lt;TIME(7,0,0),1,0))</f>
        <v/>
      </c>
      <c r="R286">
        <f>IF(M286="",0,IF(M286&gt;TIME(18,0,0),1,0))</f>
        <v/>
      </c>
      <c r="S286">
        <f>IF(AND(H286="Yes",O286=1,COUNTIFS($C$2:C286,C286,$N$2:N286,N286,$H$2:H286,"Yes",$O$2:O286,1)=1),1,0)</f>
        <v/>
      </c>
      <c r="T286">
        <f>SUMIFS($F$2:$F$294,$C$2:$C$294,C286,$N$2:$N$294,N286,$H$2:$H$294,"Yes",$O$2:$O$294,1)</f>
        <v/>
      </c>
    </row>
    <row r="287">
      <c r="A287" t="inlineStr">
        <is>
          <t>SE-40018672</t>
        </is>
      </c>
      <c r="B287" t="inlineStr">
        <is>
          <t>The Grove Academy - Bexley</t>
        </is>
      </c>
      <c r="C287" t="inlineStr">
        <is>
          <t>THE GROVE ACADEMY - BEXLEY PTY LTD</t>
        </is>
      </c>
      <c r="D287" t="inlineStr">
        <is>
          <t>BEXLEY</t>
        </is>
      </c>
      <c r="E287" t="inlineStr">
        <is>
          <t>2207</t>
        </is>
      </c>
      <c r="F287" t="n">
        <v>92</v>
      </c>
      <c r="G287" t="inlineStr">
        <is>
          <t>Meeting NQS</t>
        </is>
      </c>
      <c r="H287" t="inlineStr">
        <is>
          <t>Yes</t>
        </is>
      </c>
      <c r="I287" t="inlineStr">
        <is>
          <t>No</t>
        </is>
      </c>
      <c r="J287" t="inlineStr">
        <is>
          <t>No</t>
        </is>
      </c>
      <c r="K287" s="9" t="n">
        <v>44117</v>
      </c>
      <c r="L287" s="10" t="n">
        <v>0.2916666666666667</v>
      </c>
      <c r="M287" s="10" t="n">
        <v>0.75</v>
      </c>
      <c r="N287">
        <f>IFERROR(VLOOKUP(UPPER(D287),Suburb_LGA_Map!$A:$B,2,FALSE),"")</f>
        <v/>
      </c>
      <c r="O287" s="3" t="n">
        <v>1</v>
      </c>
      <c r="P287">
        <f>IF(K287="",0,IF(K287&gt;=DATE(2021,1,1),1,0))</f>
        <v/>
      </c>
      <c r="Q287">
        <f>IF(L287="",0,IF(L287&lt;TIME(7,0,0),1,0))</f>
        <v/>
      </c>
      <c r="R287">
        <f>IF(M287="",0,IF(M287&gt;TIME(18,0,0),1,0))</f>
        <v/>
      </c>
      <c r="S287">
        <f>IF(AND(H287="Yes",O287=1,COUNTIFS($C$2:C287,C287,$N$2:N287,N287,$H$2:H287,"Yes",$O$2:O287,1)=1),1,0)</f>
        <v/>
      </c>
      <c r="T287">
        <f>SUMIFS($F$2:$F$294,$C$2:$C$294,C287,$N$2:$N$294,N287,$H$2:$H$294,"Yes",$O$2:$O$294,1)</f>
        <v/>
      </c>
    </row>
    <row r="288">
      <c r="A288" t="inlineStr">
        <is>
          <t>SE-00008574</t>
        </is>
      </c>
      <c r="B288" t="inlineStr">
        <is>
          <t>North Brighton Community Preschool &amp; Kindergarten</t>
        </is>
      </c>
      <c r="C288" t="inlineStr">
        <is>
          <t>NORTH BRIGHTON PRE SCHOOL INC</t>
        </is>
      </c>
      <c r="D288" t="inlineStr">
        <is>
          <t>KYEEMAGH</t>
        </is>
      </c>
      <c r="E288" t="inlineStr">
        <is>
          <t>2216</t>
        </is>
      </c>
      <c r="F288" t="n">
        <v>41</v>
      </c>
      <c r="G288" t="inlineStr">
        <is>
          <t>Meeting NQS</t>
        </is>
      </c>
      <c r="H288" t="inlineStr">
        <is>
          <t>No</t>
        </is>
      </c>
      <c r="I288" t="inlineStr">
        <is>
          <t>Yes</t>
        </is>
      </c>
      <c r="J288" t="inlineStr">
        <is>
          <t>No</t>
        </is>
      </c>
      <c r="K288" s="9" t="n">
        <v>38860</v>
      </c>
      <c r="L288" s="10" t="n">
        <v>0.3541666666666667</v>
      </c>
      <c r="M288" s="10" t="n">
        <v>0.6666666666666666</v>
      </c>
      <c r="N288">
        <f>IFERROR(VLOOKUP(UPPER(D288),Suburb_LGA_Map!$A:$B,2,FALSE),"")</f>
        <v/>
      </c>
      <c r="O288" s="3" t="n">
        <v>1</v>
      </c>
      <c r="P288">
        <f>IF(K288="",0,IF(K288&gt;=DATE(2021,1,1),1,0))</f>
        <v/>
      </c>
      <c r="Q288">
        <f>IF(L288="",0,IF(L288&lt;TIME(7,0,0),1,0))</f>
        <v/>
      </c>
      <c r="R288">
        <f>IF(M288="",0,IF(M288&gt;TIME(18,0,0),1,0))</f>
        <v/>
      </c>
      <c r="S288">
        <f>IF(AND(H288="Yes",O288=1,COUNTIFS($C$2:C288,C288,$N$2:N288,N288,$H$2:H288,"Yes",$O$2:O288,1)=1),1,0)</f>
        <v/>
      </c>
      <c r="T288">
        <f>SUMIFS($F$2:$F$294,$C$2:$C$294,C288,$N$2:$N$294,N288,$H$2:$H$294,"Yes",$O$2:$O$294,1)</f>
        <v/>
      </c>
    </row>
    <row r="289">
      <c r="A289" t="inlineStr">
        <is>
          <t>SE-00008587</t>
        </is>
      </c>
      <c r="B289" t="inlineStr">
        <is>
          <t>North Sydney Family Day Care Scheme</t>
        </is>
      </c>
      <c r="C289" t="inlineStr">
        <is>
          <t>North Sydney Council</t>
        </is>
      </c>
      <c r="D289" t="inlineStr">
        <is>
          <t>NORTH SYDNEY</t>
        </is>
      </c>
      <c r="E289" t="inlineStr">
        <is>
          <t>2060</t>
        </is>
      </c>
      <c r="F289" t="n">
        <v>0</v>
      </c>
      <c r="G289" t="inlineStr">
        <is>
          <t>Meeting NQS</t>
        </is>
      </c>
      <c r="H289" t="inlineStr">
        <is>
          <t>No</t>
        </is>
      </c>
      <c r="I289" t="inlineStr">
        <is>
          <t>No</t>
        </is>
      </c>
      <c r="J289" t="inlineStr">
        <is>
          <t>No</t>
        </is>
      </c>
      <c r="K289" s="9" t="n">
        <v>39017</v>
      </c>
      <c r="L289" s="10" t="n">
        <v>0.3333333333333333</v>
      </c>
      <c r="M289" s="10" t="n">
        <v>0.75</v>
      </c>
      <c r="N289">
        <f>IFERROR(VLOOKUP(UPPER(D289),Suburb_LGA_Map!$A:$B,2,FALSE),"")</f>
        <v/>
      </c>
      <c r="O289" s="3" t="n">
        <v>1</v>
      </c>
      <c r="P289">
        <f>IF(K289="",0,IF(K289&gt;=DATE(2021,1,1),1,0))</f>
        <v/>
      </c>
      <c r="Q289">
        <f>IF(L289="",0,IF(L289&lt;TIME(7,0,0),1,0))</f>
        <v/>
      </c>
      <c r="R289">
        <f>IF(M289="",0,IF(M289&gt;TIME(18,0,0),1,0))</f>
        <v/>
      </c>
      <c r="S289">
        <f>IF(AND(H289="Yes",O289=1,COUNTIFS($C$2:C289,C289,$N$2:N289,N289,$H$2:H289,"Yes",$O$2:O289,1)=1),1,0)</f>
        <v/>
      </c>
      <c r="T289">
        <f>SUMIFS($F$2:$F$294,$C$2:$C$294,C289,$N$2:$N$294,N289,$H$2:$H$294,"Yes",$O$2:$O$294,1)</f>
        <v/>
      </c>
    </row>
    <row r="290">
      <c r="A290" t="inlineStr">
        <is>
          <t>SE-00008599</t>
        </is>
      </c>
      <c r="B290" t="inlineStr">
        <is>
          <t>Northside Montessori Preschool and OOSH</t>
        </is>
      </c>
      <c r="C290" t="inlineStr">
        <is>
          <t>Northside Montessori Society</t>
        </is>
      </c>
      <c r="D290" t="inlineStr">
        <is>
          <t>PYMBLE</t>
        </is>
      </c>
      <c r="E290" t="inlineStr">
        <is>
          <t>2073</t>
        </is>
      </c>
      <c r="F290" t="n">
        <v>100</v>
      </c>
      <c r="G290" t="inlineStr">
        <is>
          <t>Meeting NQS</t>
        </is>
      </c>
      <c r="H290" t="inlineStr">
        <is>
          <t>No</t>
        </is>
      </c>
      <c r="I290" t="inlineStr">
        <is>
          <t>Yes</t>
        </is>
      </c>
      <c r="J290" t="inlineStr">
        <is>
          <t>Yes</t>
        </is>
      </c>
      <c r="K290" s="9" t="n">
        <v>39744</v>
      </c>
      <c r="L290" s="10" t="n">
        <v>0.2916666666666667</v>
      </c>
      <c r="M290" s="10" t="n">
        <v>0.75</v>
      </c>
      <c r="N290">
        <f>IFERROR(VLOOKUP(UPPER(D290),Suburb_LGA_Map!$A:$B,2,FALSE),"")</f>
        <v/>
      </c>
      <c r="O290" s="3" t="n">
        <v>1</v>
      </c>
      <c r="P290">
        <f>IF(K290="",0,IF(K290&gt;=DATE(2021,1,1),1,0))</f>
        <v/>
      </c>
      <c r="Q290">
        <f>IF(L290="",0,IF(L290&lt;TIME(7,0,0),1,0))</f>
        <v/>
      </c>
      <c r="R290">
        <f>IF(M290="",0,IF(M290&gt;TIME(18,0,0),1,0))</f>
        <v/>
      </c>
      <c r="S290">
        <f>IF(AND(H290="Yes",O290=1,COUNTIFS($C$2:C290,C290,$N$2:N290,N290,$H$2:H290,"Yes",$O$2:O290,1)=1),1,0)</f>
        <v/>
      </c>
      <c r="T290">
        <f>SUMIFS($F$2:$F$294,$C$2:$C$294,C290,$N$2:$N$294,N290,$H$2:$H$294,"Yes",$O$2:$O$294,1)</f>
        <v/>
      </c>
    </row>
    <row r="291">
      <c r="A291" t="inlineStr">
        <is>
          <t>SE-00008652</t>
        </is>
      </c>
      <c r="B291" t="inlineStr">
        <is>
          <t>Kiddie Cloud Early Learning Centre</t>
        </is>
      </c>
      <c r="C291" t="inlineStr"/>
      <c r="D291" t="inlineStr">
        <is>
          <t>PAGEWOOD</t>
        </is>
      </c>
      <c r="E291" t="inlineStr">
        <is>
          <t>2035</t>
        </is>
      </c>
      <c r="F291" t="n">
        <v>27</v>
      </c>
      <c r="G291" t="inlineStr">
        <is>
          <t>Meeting NQS</t>
        </is>
      </c>
      <c r="H291" t="inlineStr">
        <is>
          <t>Yes</t>
        </is>
      </c>
      <c r="I291" t="inlineStr">
        <is>
          <t>No</t>
        </is>
      </c>
      <c r="J291" t="inlineStr">
        <is>
          <t>Yes</t>
        </is>
      </c>
      <c r="K291" s="9" t="n">
        <v>39104</v>
      </c>
      <c r="L291" s="10" t="n">
        <v>0.3125</v>
      </c>
      <c r="M291" s="10" t="n">
        <v>0.75</v>
      </c>
      <c r="N291">
        <f>IFERROR(VLOOKUP(UPPER(D291),Suburb_LGA_Map!$A:$B,2,FALSE),"")</f>
        <v/>
      </c>
      <c r="O291" s="3" t="n">
        <v>1</v>
      </c>
      <c r="P291">
        <f>IF(K291="",0,IF(K291&gt;=DATE(2021,1,1),1,0))</f>
        <v/>
      </c>
      <c r="Q291">
        <f>IF(L291="",0,IF(L291&lt;TIME(7,0,0),1,0))</f>
        <v/>
      </c>
      <c r="R291">
        <f>IF(M291="",0,IF(M291&gt;TIME(18,0,0),1,0))</f>
        <v/>
      </c>
      <c r="S291">
        <f>IF(AND(H291="Yes",O291=1,COUNTIFS($C$2:C291,C291,$N$2:N291,N291,$H$2:H291,"Yes",$O$2:O291,1)=1),1,0)</f>
        <v/>
      </c>
      <c r="T291">
        <f>SUMIFS($F$2:$F$294,$C$2:$C$294,C291,$N$2:$N$294,N291,$H$2:$H$294,"Yes",$O$2:$O$294,1)</f>
        <v/>
      </c>
    </row>
    <row r="292">
      <c r="A292" t="inlineStr">
        <is>
          <t>SE-40013955</t>
        </is>
      </c>
      <c r="B292" t="inlineStr">
        <is>
          <t>Simba Education St Ives</t>
        </is>
      </c>
      <c r="C292" t="inlineStr">
        <is>
          <t>Simba Education PTY LTD</t>
        </is>
      </c>
      <c r="D292" t="inlineStr">
        <is>
          <t>ST IVES</t>
        </is>
      </c>
      <c r="E292" t="inlineStr">
        <is>
          <t>2075</t>
        </is>
      </c>
      <c r="F292" t="n">
        <v>96</v>
      </c>
      <c r="G292" t="inlineStr">
        <is>
          <t>Meeting NQS</t>
        </is>
      </c>
      <c r="H292" t="inlineStr">
        <is>
          <t>Yes</t>
        </is>
      </c>
      <c r="I292" t="inlineStr">
        <is>
          <t>No</t>
        </is>
      </c>
      <c r="J292" t="inlineStr">
        <is>
          <t>No</t>
        </is>
      </c>
      <c r="K292" s="9" t="n">
        <v>43495</v>
      </c>
      <c r="L292" s="10" t="n">
        <v>0.2916666666666667</v>
      </c>
      <c r="M292" s="10" t="n">
        <v>0.75</v>
      </c>
      <c r="N292">
        <f>IFERROR(VLOOKUP(UPPER(D292),Suburb_LGA_Map!$A:$B,2,FALSE),"")</f>
        <v/>
      </c>
      <c r="O292" s="3" t="n">
        <v>1</v>
      </c>
      <c r="P292">
        <f>IF(K292="",0,IF(K292&gt;=DATE(2021,1,1),1,0))</f>
        <v/>
      </c>
      <c r="Q292">
        <f>IF(L292="",0,IF(L292&lt;TIME(7,0,0),1,0))</f>
        <v/>
      </c>
      <c r="R292">
        <f>IF(M292="",0,IF(M292&gt;TIME(18,0,0),1,0))</f>
        <v/>
      </c>
      <c r="S292">
        <f>IF(AND(H292="Yes",O292=1,COUNTIFS($C$2:C292,C292,$N$2:N292,N292,$H$2:H292,"Yes",$O$2:O292,1)=1),1,0)</f>
        <v/>
      </c>
      <c r="T292">
        <f>SUMIFS($F$2:$F$294,$C$2:$C$294,C292,$N$2:$N$294,N292,$H$2:$H$294,"Yes",$O$2:$O$294,1)</f>
        <v/>
      </c>
    </row>
    <row r="293">
      <c r="A293" t="inlineStr">
        <is>
          <t>SE-40022609</t>
        </is>
      </c>
      <c r="B293" t="inlineStr">
        <is>
          <t>Arkie Wahroonga</t>
        </is>
      </c>
      <c r="C293" t="inlineStr">
        <is>
          <t>Tiny Footsteps Pty Ltd</t>
        </is>
      </c>
      <c r="D293" t="inlineStr">
        <is>
          <t>WAHROONGA</t>
        </is>
      </c>
      <c r="E293" t="inlineStr">
        <is>
          <t>2076</t>
        </is>
      </c>
      <c r="F293" t="n">
        <v>127</v>
      </c>
      <c r="G293" t="inlineStr">
        <is>
          <t>Meeting NQS</t>
        </is>
      </c>
      <c r="H293" t="inlineStr">
        <is>
          <t>Yes</t>
        </is>
      </c>
      <c r="I293" t="inlineStr">
        <is>
          <t>No</t>
        </is>
      </c>
      <c r="J293" t="inlineStr">
        <is>
          <t>No</t>
        </is>
      </c>
      <c r="K293" s="9" t="n">
        <v>44914</v>
      </c>
      <c r="L293" s="10" t="n">
        <v>0.2916666666666667</v>
      </c>
      <c r="M293" s="10" t="n">
        <v>0.75</v>
      </c>
      <c r="N293">
        <f>IFERROR(VLOOKUP(UPPER(D293),Suburb_LGA_Map!$A:$B,2,FALSE),"")</f>
        <v/>
      </c>
      <c r="O293" s="3" t="n">
        <v>1</v>
      </c>
      <c r="P293">
        <f>IF(K293="",0,IF(K293&gt;=DATE(2021,1,1),1,0))</f>
        <v/>
      </c>
      <c r="Q293">
        <f>IF(L293="",0,IF(L293&lt;TIME(7,0,0),1,0))</f>
        <v/>
      </c>
      <c r="R293">
        <f>IF(M293="",0,IF(M293&gt;TIME(18,0,0),1,0))</f>
        <v/>
      </c>
      <c r="S293">
        <f>IF(AND(H293="Yes",O293=1,COUNTIFS($C$2:C293,C293,$N$2:N293,N293,$H$2:H293,"Yes",$O$2:O293,1)=1),1,0)</f>
        <v/>
      </c>
      <c r="T293">
        <f>SUMIFS($F$2:$F$294,$C$2:$C$294,C293,$N$2:$N$294,N293,$H$2:$H$294,"Yes",$O$2:$O$294,1)</f>
        <v/>
      </c>
    </row>
    <row r="294">
      <c r="A294" t="inlineStr">
        <is>
          <t>SE-40022857</t>
        </is>
      </c>
      <c r="B294" t="inlineStr">
        <is>
          <t>Bright Blooms Early Learning Centre</t>
        </is>
      </c>
      <c r="C294" t="inlineStr">
        <is>
          <t>BRIGHT BEES EARLY LEARNING (NICHOLLS) PTY LIMITED</t>
        </is>
      </c>
      <c r="D294" t="inlineStr">
        <is>
          <t>ST LEONARDS</t>
        </is>
      </c>
      <c r="E294" t="inlineStr">
        <is>
          <t>2065</t>
        </is>
      </c>
      <c r="F294" t="n">
        <v>100</v>
      </c>
      <c r="G294" t="inlineStr">
        <is>
          <t>Meeting NQS</t>
        </is>
      </c>
      <c r="H294" t="inlineStr">
        <is>
          <t>Yes</t>
        </is>
      </c>
      <c r="I294" t="inlineStr">
        <is>
          <t>No</t>
        </is>
      </c>
      <c r="J294" t="inlineStr">
        <is>
          <t>No</t>
        </is>
      </c>
      <c r="K294" s="9" t="n">
        <v>44897</v>
      </c>
      <c r="L294" s="10" t="n">
        <v>0.2916666666666667</v>
      </c>
      <c r="M294" s="10" t="n">
        <v>0.75</v>
      </c>
      <c r="N294">
        <f>IFERROR(VLOOKUP(UPPER(D294),Suburb_LGA_Map!$A:$B,2,FALSE),"")</f>
        <v/>
      </c>
      <c r="O294" s="3" t="n">
        <v>1</v>
      </c>
      <c r="P294">
        <f>IF(K294="",0,IF(K294&gt;=DATE(2021,1,1),1,0))</f>
        <v/>
      </c>
      <c r="Q294">
        <f>IF(L294="",0,IF(L294&lt;TIME(7,0,0),1,0))</f>
        <v/>
      </c>
      <c r="R294">
        <f>IF(M294="",0,IF(M294&gt;TIME(18,0,0),1,0))</f>
        <v/>
      </c>
      <c r="S294">
        <f>IF(AND(H294="Yes",O294=1,COUNTIFS($C$2:C294,C294,$N$2:N294,N294,$H$2:H294,"Yes",$O$2:O294,1)=1),1,0)</f>
        <v/>
      </c>
      <c r="T294">
        <f>SUMIFS($F$2:$F$294,$C$2:$C$294,C294,$N$2:$N$294,N294,$H$2:$H$294,"Yes",$O$2:$O$294,1)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1" max="1"/>
    <col width="55" customWidth="1" min="2" max="2"/>
  </cols>
  <sheetData>
    <row r="1">
      <c r="A1" s="4" t="inlineStr">
        <is>
          <t>Indicator</t>
        </is>
      </c>
      <c r="B1" s="4" t="inlineStr">
        <is>
          <t>Definition</t>
        </is>
      </c>
      <c r="C1" s="4" t="inlineStr">
        <is>
          <t>Ku-ring-gai</t>
        </is>
      </c>
      <c r="D1" s="4" t="inlineStr">
        <is>
          <t>Bayside</t>
        </is>
      </c>
      <c r="E1" s="4" t="inlineStr">
        <is>
          <t>North Sydney</t>
        </is>
      </c>
    </row>
    <row r="2">
      <c r="A2" t="inlineStr">
        <is>
          <t>Long day care centres</t>
        </is>
      </c>
      <c r="B2" t="inlineStr">
        <is>
          <t>Include=1, Long Day Care=Yes</t>
        </is>
      </c>
      <c r="C2">
        <f>COUNTIFS(ACECQA_Services!$N$2:$N$294,"Ku-ring-gai",ACECQA_Services!$O$2:$O$294,1,ACECQA_Services!$H$2:$H$294,"Yes")</f>
        <v/>
      </c>
      <c r="D2">
        <f>COUNTIFS(ACECQA_Services!$N$2:$N$294,"Bayside",ACECQA_Services!$O$2:$O$294,1,ACECQA_Services!$H$2:$H$294,"Yes")</f>
        <v/>
      </c>
      <c r="E2">
        <f>COUNTIFS(ACECQA_Services!$N$2:$N$294,"North Sydney",ACECQA_Services!$O$2:$O$294,1,ACECQA_Services!$H$2:$H$294,"Yes")</f>
        <v/>
      </c>
    </row>
    <row r="3">
      <c r="A3" t="inlineStr">
        <is>
          <t>Approved LDC places</t>
        </is>
      </c>
      <c r="B3" t="inlineStr">
        <is>
          <t>sum of places</t>
        </is>
      </c>
      <c r="C3">
        <f>SUMIFS(ACECQA_Services!$F$2:$F$294,ACECQA_Services!$N$2:$N$294,"Ku-ring-gai",ACECQA_Services!$O$2:$O$294,1,ACECQA_Services!$H$2:$H$294,"Yes")</f>
        <v/>
      </c>
      <c r="D3">
        <f>SUMIFS(ACECQA_Services!$F$2:$F$294,ACECQA_Services!$N$2:$N$294,"Bayside",ACECQA_Services!$O$2:$O$294,1,ACECQA_Services!$H$2:$H$294,"Yes")</f>
        <v/>
      </c>
      <c r="E3">
        <f>SUMIFS(ACECQA_Services!$F$2:$F$294,ACECQA_Services!$N$2:$N$294,"North Sydney",ACECQA_Services!$O$2:$O$294,1,ACECQA_Services!$H$2:$H$294,"Yes")</f>
        <v/>
      </c>
    </row>
    <row r="4">
      <c r="A4" t="inlineStr">
        <is>
          <t>Children aged 0-4</t>
        </is>
      </c>
      <c r="B4" t="inlineStr">
        <is>
          <t>Census 2021 G01</t>
        </is>
      </c>
      <c r="C4">
        <f>Data!C3</f>
        <v/>
      </c>
      <c r="D4">
        <f>Data!D3</f>
        <v/>
      </c>
      <c r="E4">
        <f>Data!E3</f>
        <v/>
      </c>
    </row>
    <row r="5">
      <c r="A5" t="inlineStr">
        <is>
          <t>Places per 100 children 0-4</t>
        </is>
      </c>
      <c r="B5" t="inlineStr">
        <is>
          <t>normalised supply (places/children x100)</t>
        </is>
      </c>
      <c r="C5" s="11">
        <f>C3/C4*100</f>
        <v/>
      </c>
      <c r="D5" s="11">
        <f>D3/D4*100</f>
        <v/>
      </c>
      <c r="E5" s="11">
        <f>E3/E4*100</f>
        <v/>
      </c>
    </row>
    <row r="6">
      <c r="A6" t="inlineStr">
        <is>
          <t>Centres per 1,000 children 0-4</t>
        </is>
      </c>
      <c r="B6" t="inlineStr">
        <is>
          <t>supply proxy</t>
        </is>
      </c>
      <c r="C6" s="11">
        <f>C2/C4*1000</f>
        <v/>
      </c>
      <c r="D6" s="11">
        <f>D2/D4*1000</f>
        <v/>
      </c>
      <c r="E6" s="11">
        <f>E2/E4*1000</f>
        <v/>
      </c>
    </row>
    <row r="7">
      <c r="A7" t="inlineStr">
        <is>
          <t>Standalone preschools (not LDC)</t>
        </is>
      </c>
      <c r="B7" t="inlineStr">
        <is>
          <t>weaker substitutes</t>
        </is>
      </c>
      <c r="C7">
        <f>COUNTIFS(ACECQA_Services!$N$2:$N$294,"Ku-ring-gai",ACECQA_Services!$O$2:$O$294,1,ACECQA_Services!$I$2:$I$294,"Yes",ACECQA_Services!$H$2:$H$294,"&lt;&gt;Yes")</f>
        <v/>
      </c>
      <c r="D7">
        <f>COUNTIFS(ACECQA_Services!$N$2:$N$294,"Bayside",ACECQA_Services!$O$2:$O$294,1,ACECQA_Services!$I$2:$I$294,"Yes",ACECQA_Services!$H$2:$H$294,"&lt;&gt;Yes")</f>
        <v/>
      </c>
      <c r="E7">
        <f>COUNTIFS(ACECQA_Services!$N$2:$N$294,"North Sydney",ACECQA_Services!$O$2:$O$294,1,ACECQA_Services!$I$2:$I$294,"Yes",ACECQA_Services!$H$2:$H$294,"&lt;&gt;Yes")</f>
        <v/>
      </c>
    </row>
    <row r="8">
      <c r="A8" t="inlineStr">
        <is>
          <t>LDC opened since 1 Jan 2021</t>
        </is>
      </c>
      <c r="B8" t="inlineStr">
        <is>
          <t>recent supply growth</t>
        </is>
      </c>
      <c r="C8">
        <f>COUNTIFS(ACECQA_Services!$N$2:$N$294,"Ku-ring-gai",ACECQA_Services!$O$2:$O$294,1,ACECQA_Services!$H$2:$H$294,"Yes",ACECQA_Services!$P$2:$P$294,1)</f>
        <v/>
      </c>
      <c r="D8">
        <f>COUNTIFS(ACECQA_Services!$N$2:$N$294,"Bayside",ACECQA_Services!$O$2:$O$294,1,ACECQA_Services!$H$2:$H$294,"Yes",ACECQA_Services!$P$2:$P$294,1)</f>
        <v/>
      </c>
      <c r="E8">
        <f>COUNTIFS(ACECQA_Services!$N$2:$N$294,"North Sydney",ACECQA_Services!$O$2:$O$294,1,ACECQA_Services!$H$2:$H$294,"Yes",ACECQA_Services!$P$2:$P$294,1)</f>
        <v/>
      </c>
    </row>
    <row r="9">
      <c r="A9" t="inlineStr">
        <is>
          <t>Share of LDC opened since 2021</t>
        </is>
      </c>
      <c r="B9" t="inlineStr"/>
      <c r="C9" s="8">
        <f>C8/C2</f>
        <v/>
      </c>
      <c r="D9" s="8">
        <f>D8/D2</f>
        <v/>
      </c>
      <c r="E9" s="8">
        <f>E8/E2</f>
        <v/>
      </c>
    </row>
    <row r="10">
      <c r="A10" t="inlineStr">
        <is>
          <t>Share rated Exceeding</t>
        </is>
      </c>
      <c r="B10" t="inlineStr"/>
      <c r="C10" s="8">
        <f>COUNTIFS(ACECQA_Services!$N$2:$N$294,"Ku-ring-gai",ACECQA_Services!$O$2:$O$294,1,ACECQA_Services!$H$2:$H$294,"Yes",ACECQA_Services!$G$2:$G$294,"Exceeding NQS")/C2</f>
        <v/>
      </c>
      <c r="D10" s="8">
        <f>COUNTIFS(ACECQA_Services!$N$2:$N$294,"Bayside",ACECQA_Services!$O$2:$O$294,1,ACECQA_Services!$H$2:$H$294,"Yes",ACECQA_Services!$G$2:$G$294,"Exceeding NQS")/D2</f>
        <v/>
      </c>
      <c r="E10" s="8">
        <f>COUNTIFS(ACECQA_Services!$N$2:$N$294,"North Sydney",ACECQA_Services!$O$2:$O$294,1,ACECQA_Services!$H$2:$H$294,"Yes",ACECQA_Services!$G$2:$G$294,"Exceeding NQS")/E2</f>
        <v/>
      </c>
    </row>
    <row r="11">
      <c r="A11" t="inlineStr">
        <is>
          <t>Share rated Meeting</t>
        </is>
      </c>
      <c r="B11" t="inlineStr"/>
      <c r="C11" s="8">
        <f>COUNTIFS(ACECQA_Services!$N$2:$N$294,"Ku-ring-gai",ACECQA_Services!$O$2:$O$294,1,ACECQA_Services!$H$2:$H$294,"Yes",ACECQA_Services!$G$2:$G$294,"Meeting NQS")/C2</f>
        <v/>
      </c>
      <c r="D11" s="8">
        <f>COUNTIFS(ACECQA_Services!$N$2:$N$294,"Bayside",ACECQA_Services!$O$2:$O$294,1,ACECQA_Services!$H$2:$H$294,"Yes",ACECQA_Services!$G$2:$G$294,"Meeting NQS")/D2</f>
        <v/>
      </c>
      <c r="E11" s="8">
        <f>COUNTIFS(ACECQA_Services!$N$2:$N$294,"North Sydney",ACECQA_Services!$O$2:$O$294,1,ACECQA_Services!$H$2:$H$294,"Yes",ACECQA_Services!$G$2:$G$294,"Meeting NQS")/E2</f>
        <v/>
      </c>
    </row>
    <row r="12">
      <c r="A12" t="inlineStr">
        <is>
          <t>Share Working Towards</t>
        </is>
      </c>
      <c r="B12" t="inlineStr"/>
      <c r="C12" s="8">
        <f>COUNTIFS(ACECQA_Services!$N$2:$N$294,"Ku-ring-gai",ACECQA_Services!$O$2:$O$294,1,ACECQA_Services!$H$2:$H$294,"Yes",ACECQA_Services!$G$2:$G$294,"Working Towards NQS")/C2</f>
        <v/>
      </c>
      <c r="D12" s="8">
        <f>COUNTIFS(ACECQA_Services!$N$2:$N$294,"Bayside",ACECQA_Services!$O$2:$O$294,1,ACECQA_Services!$H$2:$H$294,"Yes",ACECQA_Services!$G$2:$G$294,"Working Towards NQS")/D2</f>
        <v/>
      </c>
      <c r="E12" s="8">
        <f>COUNTIFS(ACECQA_Services!$N$2:$N$294,"North Sydney",ACECQA_Services!$O$2:$O$294,1,ACECQA_Services!$H$2:$H$294,"Yes",ACECQA_Services!$G$2:$G$294,"Working Towards NQS")/E2</f>
        <v/>
      </c>
    </row>
    <row r="13">
      <c r="A13" t="inlineStr">
        <is>
          <t>Largest provider share of LDC places</t>
        </is>
      </c>
      <c r="B13" t="inlineStr">
        <is>
          <t>MAX provider places / total places</t>
        </is>
      </c>
      <c r="C13" s="8">
        <f>_xlfn.MAXIFS(ACECQA_Services!$T$2:$T$294,ACECQA_Services!$N$2:$N$294,"Ku-ring-gai",ACECQA_Services!$S$2:$S$294,1)/C3</f>
        <v/>
      </c>
      <c r="D13" s="8">
        <f>_xlfn.MAXIFS(ACECQA_Services!$T$2:$T$294,ACECQA_Services!$N$2:$N$294,"Bayside",ACECQA_Services!$S$2:$S$294,1)/D3</f>
        <v/>
      </c>
      <c r="E13" s="8">
        <f>_xlfn.MAXIFS(ACECQA_Services!$T$2:$T$294,ACECQA_Services!$N$2:$N$294,"North Sydney",ACECQA_Services!$S$2:$S$294,1)/E3</f>
        <v/>
      </c>
    </row>
    <row r="14">
      <c r="A14" t="inlineStr">
        <is>
          <t>HHI (0-10,000)</t>
        </is>
      </c>
      <c r="B14" t="inlineStr">
        <is>
          <t>sum of squared provider shares x10,000; &lt;1,500 unconcentrated</t>
        </is>
      </c>
      <c r="C14" s="11">
        <f>SUMPRODUCT((ACECQA_Services!$N$2:$N$294="Ku-ring-gai")*ACECQA_Services!$S$2:$S$294*(ACECQA_Services!$T$2:$T$294/C3)^2)*10000</f>
        <v/>
      </c>
      <c r="D14" s="11">
        <f>SUMPRODUCT((ACECQA_Services!$N$2:$N$294="Bayside")*ACECQA_Services!$S$2:$S$294*(ACECQA_Services!$T$2:$T$294/D3)^2)*10000</f>
        <v/>
      </c>
      <c r="E14" s="11">
        <f>SUMPRODUCT((ACECQA_Services!$N$2:$N$294="North Sydney")*ACECQA_Services!$S$2:$S$294*(ACECQA_Services!$T$2:$T$294/E3)^2)*10000</f>
        <v/>
      </c>
    </row>
    <row r="15">
      <c r="A15" t="inlineStr">
        <is>
          <t>Share LDC open before 7am (Mon)</t>
        </is>
      </c>
      <c r="B15" t="inlineStr"/>
      <c r="C15" s="8">
        <f>COUNTIFS(ACECQA_Services!$N$2:$N$294,"Ku-ring-gai",ACECQA_Services!$O$2:$O$294,1,ACECQA_Services!$H$2:$H$294,"Yes",ACECQA_Services!$Q$2:$Q$294,1)/C2</f>
        <v/>
      </c>
      <c r="D15" s="8">
        <f>COUNTIFS(ACECQA_Services!$N$2:$N$294,"Bayside",ACECQA_Services!$O$2:$O$294,1,ACECQA_Services!$H$2:$H$294,"Yes",ACECQA_Services!$Q$2:$Q$294,1)/D2</f>
        <v/>
      </c>
      <c r="E15" s="8">
        <f>COUNTIFS(ACECQA_Services!$N$2:$N$294,"North Sydney",ACECQA_Services!$O$2:$O$294,1,ACECQA_Services!$H$2:$H$294,"Yes",ACECQA_Services!$Q$2:$Q$294,1)/E2</f>
        <v/>
      </c>
    </row>
    <row r="16">
      <c r="A16" t="inlineStr">
        <is>
          <t>Share LDC closing after 6pm (Mon)</t>
        </is>
      </c>
      <c r="B16" t="inlineStr"/>
      <c r="C16" s="8">
        <f>COUNTIFS(ACECQA_Services!$N$2:$N$294,"Ku-ring-gai",ACECQA_Services!$O$2:$O$294,1,ACECQA_Services!$H$2:$H$294,"Yes",ACECQA_Services!$R$2:$R$294,1)/C2</f>
        <v/>
      </c>
      <c r="D16" s="8">
        <f>COUNTIFS(ACECQA_Services!$N$2:$N$294,"Bayside",ACECQA_Services!$O$2:$O$294,1,ACECQA_Services!$H$2:$H$294,"Yes",ACECQA_Services!$R$2:$R$294,1)/D2</f>
        <v/>
      </c>
      <c r="E16" s="8">
        <f>COUNTIFS(ACECQA_Services!$N$2:$N$294,"North Sydney",ACECQA_Services!$O$2:$O$294,1,ACECQA_Services!$H$2:$H$294,"Yes",ACECQA_Services!$R$2:$R$294,1)/E2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2026-10-29T06:31:52Z</dcterms:created>
  <dcterms:modified xmlns:dcterms="http://purl.org/dc/terms/" xmlns:xsi="http://www.w3.org/2001/XMLSchema-instance" xsi:type="dcterms:W3CDTF">2026-10-29T08:09:38Z</dcterms:modified>
</cp:coreProperties>
</file>