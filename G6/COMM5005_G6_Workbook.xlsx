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Scoring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Centres per 1,000 children aged 0-4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'Summary'!$C$1:$E$1</f>
            </numRef>
          </cat>
          <val>
            <numRef>
              <f>'Summary'!$C$5:$E$5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COMM5005 T3 2026 - Group G6 - Childtime Australia location study</t>
        </is>
      </c>
    </row>
    <row r="2">
      <c r="A2" t="inlineStr">
        <is>
          <t>LGAs: Ku-ring-gai, Bayside, North Sydney (verify boundaries on ABS Census map; 2021 LGA geography)</t>
        </is>
      </c>
    </row>
    <row r="3">
      <c r="A3" t="inlineStr">
        <is>
          <t>Yellow cells = inputs to fill from sources (no data has been entered yet). White cells = formulas.</t>
        </is>
      </c>
    </row>
    <row r="4">
      <c r="A4" t="inlineStr">
        <is>
          <t>Sheets: Data (inputs + sources) &gt; Indicators (normalised measures) &gt; Costs (staffing/site) &gt; Scoring (weighted) &gt; Summary (report table + charts)</t>
        </is>
      </c>
    </row>
    <row r="5">
      <c r="A5" t="inlineStr">
        <is>
          <t>Record source, reference year and access date for every input in the Data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Indicator</t>
        </is>
      </c>
      <c r="B1" s="2" t="inlineStr">
        <is>
          <t>Unit</t>
        </is>
      </c>
      <c r="C1" s="2" t="inlineStr">
        <is>
          <t>Ku-ring-gai</t>
        </is>
      </c>
      <c r="D1" s="2" t="inlineStr">
        <is>
          <t>Bayside</t>
        </is>
      </c>
      <c r="E1" s="2" t="inlineStr">
        <is>
          <t>North Sydney</t>
        </is>
      </c>
      <c r="F1" s="2" t="inlineStr">
        <is>
          <t>Source</t>
        </is>
      </c>
      <c r="G1" s="2" t="inlineStr">
        <is>
          <t>Reference year</t>
        </is>
      </c>
      <c r="H1" s="2" t="inlineStr">
        <is>
          <t>Date accessed</t>
        </is>
      </c>
      <c r="I1" s="2" t="inlineStr">
        <is>
          <t>Notes / proxy</t>
        </is>
      </c>
    </row>
    <row r="2">
      <c r="A2" t="inlineStr">
        <is>
          <t>Total population</t>
        </is>
      </c>
      <c r="B2" t="inlineStr">
        <is>
          <t>persons</t>
        </is>
      </c>
      <c r="C2" s="3" t="n"/>
      <c r="D2" s="3" t="n"/>
      <c r="E2" s="3" t="n"/>
      <c r="F2" t="inlineStr">
        <is>
          <t>ABS Census 2021 Community Profile (G01)</t>
        </is>
      </c>
      <c r="G2" t="inlineStr">
        <is>
          <t>2021</t>
        </is>
      </c>
    </row>
    <row r="3">
      <c r="A3" t="inlineStr">
        <is>
          <t>Children aged 0-4</t>
        </is>
      </c>
      <c r="B3" t="inlineStr">
        <is>
          <t>persons</t>
        </is>
      </c>
      <c r="C3" s="3" t="n"/>
      <c r="D3" s="3" t="n"/>
      <c r="E3" s="3" t="n"/>
      <c r="F3" t="inlineStr">
        <is>
          <t>ABS Census 2021 (G04)</t>
        </is>
      </c>
      <c r="G3" t="inlineStr">
        <is>
          <t>2021</t>
        </is>
      </c>
    </row>
    <row r="4">
      <c r="A4" t="inlineStr">
        <is>
          <t>Children aged 0-4 as share check</t>
        </is>
      </c>
      <c r="B4" t="inlineStr">
        <is>
          <t>persons</t>
        </is>
      </c>
      <c r="C4" s="3" t="n"/>
      <c r="D4" s="3" t="n"/>
      <c r="E4" s="3" t="n"/>
      <c r="F4" t="inlineStr">
        <is>
          <t>(formula in Indicators)</t>
        </is>
      </c>
    </row>
    <row r="5">
      <c r="A5" t="inlineStr">
        <is>
          <t>Families with children under 5 / couple families with children</t>
        </is>
      </c>
      <c r="B5" t="inlineStr">
        <is>
          <t>families</t>
        </is>
      </c>
      <c r="C5" s="3" t="n"/>
      <c r="D5" s="3" t="n"/>
      <c r="E5" s="3" t="n"/>
      <c r="F5" t="inlineStr">
        <is>
          <t>ABS Census 2021 (G25/G29)</t>
        </is>
      </c>
      <c r="G5" t="inlineStr">
        <is>
          <t>2021</t>
        </is>
      </c>
    </row>
    <row r="6">
      <c r="A6" t="inlineStr">
        <is>
          <t>Median weekly household income</t>
        </is>
      </c>
      <c r="B6" t="inlineStr">
        <is>
          <t>$/week</t>
        </is>
      </c>
      <c r="C6" s="3" t="n"/>
      <c r="D6" s="3" t="n"/>
      <c r="E6" s="3" t="n"/>
      <c r="F6" t="inlineStr">
        <is>
          <t>ABS Census 2021 (G02)</t>
        </is>
      </c>
      <c r="G6" t="inlineStr">
        <is>
          <t>2021</t>
        </is>
      </c>
    </row>
    <row r="7">
      <c r="A7" t="inlineStr">
        <is>
          <t>Median weekly family income</t>
        </is>
      </c>
      <c r="B7" t="inlineStr">
        <is>
          <t>$/week</t>
        </is>
      </c>
      <c r="C7" s="3" t="n"/>
      <c r="D7" s="3" t="n"/>
      <c r="E7" s="3" t="n"/>
      <c r="F7" t="inlineStr">
        <is>
          <t>ABS Census 2021 (G02)</t>
        </is>
      </c>
      <c r="G7" t="inlineStr">
        <is>
          <t>2021</t>
        </is>
      </c>
    </row>
    <row r="8">
      <c r="A8" t="inlineStr">
        <is>
          <t>Employment rate (labour force employed / aged 15+)</t>
        </is>
      </c>
      <c r="B8" t="inlineStr">
        <is>
          <t>%</t>
        </is>
      </c>
      <c r="C8" s="3" t="n"/>
      <c r="D8" s="3" t="n"/>
      <c r="E8" s="3" t="n"/>
      <c r="F8" t="inlineStr">
        <is>
          <t>ABS Census 2021 (G43)</t>
        </is>
      </c>
      <c r="G8" t="inlineStr">
        <is>
          <t>2021</t>
        </is>
      </c>
    </row>
    <row r="9">
      <c r="A9" t="inlineStr">
        <is>
          <t>Female labour force participation</t>
        </is>
      </c>
      <c r="B9" t="inlineStr">
        <is>
          <t>%</t>
        </is>
      </c>
      <c r="C9" s="3" t="n"/>
      <c r="D9" s="3" t="n"/>
      <c r="E9" s="3" t="n"/>
      <c r="F9" t="inlineStr">
        <is>
          <t>ABS Census 2021 (G43)</t>
        </is>
      </c>
      <c r="G9" t="inlineStr">
        <is>
          <t>2021</t>
        </is>
      </c>
    </row>
    <row r="10">
      <c r="A10" t="inlineStr">
        <is>
          <t>Bachelor degree or above (15+)</t>
        </is>
      </c>
      <c r="B10" t="inlineStr">
        <is>
          <t>%</t>
        </is>
      </c>
      <c r="C10" s="3" t="n"/>
      <c r="D10" s="3" t="n"/>
      <c r="E10" s="3" t="n"/>
      <c r="F10" t="inlineStr">
        <is>
          <t>ABS Census 2021 (G46)</t>
        </is>
      </c>
      <c r="G10" t="inlineStr">
        <is>
          <t>2021</t>
        </is>
      </c>
    </row>
    <row r="11">
      <c r="A11" t="inlineStr">
        <is>
          <t>Approved childcare centres (centre-based day care) in LGA</t>
        </is>
      </c>
      <c r="B11" t="inlineStr">
        <is>
          <t>count</t>
        </is>
      </c>
      <c r="C11" s="3" t="n"/>
      <c r="D11" s="3" t="n"/>
      <c r="E11" s="3" t="n"/>
      <c r="F11" t="inlineStr">
        <is>
          <t>ACECQA National Register / MyChild</t>
        </is>
      </c>
      <c r="G11" t="inlineStr">
        <is>
          <t>2026</t>
        </is>
      </c>
    </row>
    <row r="12">
      <c r="A12" t="inlineStr">
        <is>
          <t>Approved centre-based places (if available)</t>
        </is>
      </c>
      <c r="B12" t="inlineStr">
        <is>
          <t>places</t>
        </is>
      </c>
      <c r="C12" s="3" t="n"/>
      <c r="D12" s="3" t="n"/>
      <c r="E12" s="3" t="n"/>
      <c r="F12" t="inlineStr">
        <is>
          <t>ACECQA / DoE childcare data</t>
        </is>
      </c>
      <c r="G12" t="inlineStr">
        <is>
          <t>2026</t>
        </is>
      </c>
    </row>
    <row r="13">
      <c r="A13" t="inlineStr">
        <is>
          <t>Land/lease price proxy: median rent for commercial/childcare site</t>
        </is>
      </c>
      <c r="B13" t="inlineStr">
        <is>
          <t>$/m2/yr</t>
        </is>
      </c>
      <c r="C13" s="3" t="n"/>
      <c r="D13" s="3" t="n"/>
      <c r="E13" s="3" t="n"/>
      <c r="F13" t="inlineStr">
        <is>
          <t>Realcommercial / CoStar / Valuer-General; document proxy</t>
        </is>
      </c>
      <c r="G13" t="inlineStr">
        <is>
          <t>2026</t>
        </is>
      </c>
    </row>
    <row r="14">
      <c r="A14" t="inlineStr">
        <is>
          <t>Land value proxy ($/m2, ~1,500 m2 site)</t>
        </is>
      </c>
      <c r="B14" t="inlineStr">
        <is>
          <t>$/m2</t>
        </is>
      </c>
      <c r="C14" s="3" t="n"/>
      <c r="D14" s="3" t="n"/>
      <c r="E14" s="3" t="n"/>
      <c r="F14" t="inlineStr">
        <is>
          <t>NSW Valuer General land values</t>
        </is>
      </c>
      <c r="G14" t="inlineStr">
        <is>
          <t>2026</t>
        </is>
      </c>
    </row>
    <row r="15">
      <c r="A15" t="inlineStr">
        <is>
          <t>Median weekly rent (residential, cost proxy)</t>
        </is>
      </c>
      <c r="B15" t="inlineStr">
        <is>
          <t>$/week</t>
        </is>
      </c>
      <c r="C15" s="3" t="n"/>
      <c r="D15" s="3" t="n"/>
      <c r="E15" s="3" t="n"/>
      <c r="F15" t="inlineStr">
        <is>
          <t>ABS Census 2021 (G02)</t>
        </is>
      </c>
      <c r="G15" t="inlineStr">
        <is>
          <t>2021</t>
        </is>
      </c>
    </row>
    <row r="16">
      <c r="A16" t="inlineStr">
        <is>
          <t>Peak-hour drive time to LGA centre (accessibility)</t>
        </is>
      </c>
      <c r="B16" t="inlineStr">
        <is>
          <t>minutes</t>
        </is>
      </c>
      <c r="C16" s="3" t="n"/>
      <c r="D16" s="3" t="n"/>
      <c r="E16" s="3" t="n"/>
      <c r="F16" t="inlineStr">
        <is>
          <t>Google Maps / TfNSW</t>
        </is>
      </c>
      <c r="G16" t="inlineStr">
        <is>
          <t>2026</t>
        </is>
      </c>
    </row>
    <row r="17">
      <c r="A17" t="inlineStr">
        <is>
          <t>Public transport access (stations in LGA)</t>
        </is>
      </c>
      <c r="B17" t="inlineStr">
        <is>
          <t>count</t>
        </is>
      </c>
      <c r="C17" s="3" t="n"/>
      <c r="D17" s="3" t="n"/>
      <c r="E17" s="3" t="n"/>
      <c r="F17" t="inlineStr">
        <is>
          <t>TfNSW</t>
        </is>
      </c>
      <c r="G17" t="inlineStr">
        <is>
          <t>2026</t>
        </is>
      </c>
    </row>
    <row r="18">
      <c r="A18" t="inlineStr">
        <is>
          <t>Area of LGA</t>
        </is>
      </c>
      <c r="B18" t="inlineStr">
        <is>
          <t>km2</t>
        </is>
      </c>
      <c r="C18" s="3" t="n"/>
      <c r="D18" s="3" t="n"/>
      <c r="E18" s="3" t="n"/>
      <c r="F18" t="inlineStr">
        <is>
          <t>ABS ASGS</t>
        </is>
      </c>
      <c r="G18" t="inlineStr">
        <is>
          <t>2021</t>
        </is>
      </c>
    </row>
    <row r="19">
      <c r="A19" t="inlineStr">
        <is>
          <t>Wage benchmark adjustment vs base</t>
        </is>
      </c>
      <c r="B19" t="inlineStr">
        <is>
          <t>%</t>
        </is>
      </c>
      <c r="C19" s="3" t="n"/>
      <c r="D19" s="3" t="n"/>
      <c r="E19" s="3" t="n"/>
      <c r="F19" t="inlineStr">
        <is>
          <t>Assumption - justify</t>
        </is>
      </c>
      <c r="G19" t="inlineStr">
        <is>
          <t>2026</t>
        </is>
      </c>
    </row>
    <row r="21">
      <c r="A21" s="4" t="inlineStr">
        <is>
          <t>Staffing wage assumptions (annual, $)</t>
        </is>
      </c>
    </row>
    <row r="22">
      <c r="A22" t="inlineStr">
        <is>
          <t>Role</t>
        </is>
      </c>
      <c r="B22" t="inlineStr">
        <is>
          <t>Headcount</t>
        </is>
      </c>
      <c r="C22" t="inlineStr">
        <is>
          <t>Annual salary ($) - base</t>
        </is>
      </c>
      <c r="D22" t="inlineStr">
        <is>
          <t>On-cost rate (super/leave etc.)</t>
        </is>
      </c>
    </row>
    <row r="23">
      <c r="A23" t="inlineStr">
        <is>
          <t>Director</t>
        </is>
      </c>
      <c r="B23" t="n">
        <v>1</v>
      </c>
      <c r="C23" s="3" t="n"/>
      <c r="D23" s="3" t="n">
        <v>0.15</v>
      </c>
    </row>
    <row r="24">
      <c r="A24" t="inlineStr">
        <is>
          <t>Child activity coordinator (teacher)</t>
        </is>
      </c>
      <c r="B24" t="n">
        <v>10</v>
      </c>
      <c r="C24" s="3" t="n"/>
      <c r="D24" s="3" t="n">
        <v>0.15</v>
      </c>
    </row>
    <row r="25">
      <c r="A25" t="inlineStr">
        <is>
          <t>Chef</t>
        </is>
      </c>
      <c r="B25" t="n">
        <v>1</v>
      </c>
      <c r="C25" s="3" t="n"/>
      <c r="D25" s="3" t="n">
        <v>0.15</v>
      </c>
    </row>
    <row r="26">
      <c r="A26" t="inlineStr">
        <is>
          <t>Cleaner</t>
        </is>
      </c>
      <c r="B26" t="n">
        <v>1</v>
      </c>
      <c r="C26" s="3" t="n"/>
      <c r="D26" s="3" t="n">
        <v>0.15</v>
      </c>
    </row>
    <row r="27">
      <c r="A27" t="inlineStr">
        <is>
          <t>Facilities maintenance</t>
        </is>
      </c>
      <c r="B27" t="n">
        <v>1</v>
      </c>
      <c r="C27" s="3" t="n"/>
      <c r="D27" s="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2" t="inlineStr">
        <is>
          <t>Normalised indicator</t>
        </is>
      </c>
      <c r="B1" s="2" t="inlineStr">
        <is>
          <t>Definition / denominator rationale</t>
        </is>
      </c>
      <c r="C1" s="2" t="inlineStr">
        <is>
          <t>Ku-ring-gai</t>
        </is>
      </c>
      <c r="D1" s="2" t="inlineStr">
        <is>
          <t>Bayside</t>
        </is>
      </c>
      <c r="E1" s="2" t="inlineStr">
        <is>
          <t>North Sydney</t>
        </is>
      </c>
    </row>
    <row r="2">
      <c r="A2" t="inlineStr">
        <is>
          <t>Children 0-4 per 100 residents</t>
        </is>
      </c>
      <c r="B2" t="inlineStr">
        <is>
          <t>Age-structure intensity; removes population size effect</t>
        </is>
      </c>
      <c r="C2">
        <f>Data!C3/Data!C2*100</f>
        <v/>
      </c>
      <c r="D2">
        <f>Data!D3/Data!D2*100</f>
        <v/>
      </c>
      <c r="E2">
        <f>Data!E3/Data!E2*100</f>
        <v/>
      </c>
    </row>
    <row r="3">
      <c r="A3" t="inlineStr">
        <is>
          <t>Children 0-4 per km2</t>
        </is>
      </c>
      <c r="B3" t="inlineStr">
        <is>
          <t>Catchment density (driving catchment)</t>
        </is>
      </c>
      <c r="C3">
        <f>Data!C3/Data!C18</f>
        <v/>
      </c>
      <c r="D3">
        <f>Data!D3/Data!D18</f>
        <v/>
      </c>
      <c r="E3">
        <f>Data!E3/Data!E18</f>
        <v/>
      </c>
    </row>
    <row r="4">
      <c r="A4" t="inlineStr">
        <is>
          <t>Centres per 1,000 children 0-4</t>
        </is>
      </c>
      <c r="B4" t="inlineStr">
        <is>
          <t>Supply proxy (not places/occupancy) - lower = less competition</t>
        </is>
      </c>
      <c r="C4">
        <f>Data!C11/Data!C3*1000</f>
        <v/>
      </c>
      <c r="D4">
        <f>Data!D11/Data!D3*1000</f>
        <v/>
      </c>
      <c r="E4">
        <f>Data!E11/Data!E3*1000</f>
        <v/>
      </c>
    </row>
    <row r="5">
      <c r="A5" t="inlineStr">
        <is>
          <t>Children 0-4 per centre</t>
        </is>
      </c>
      <c r="B5" t="inlineStr">
        <is>
          <t>Potential demand per competitor</t>
        </is>
      </c>
      <c r="C5">
        <f>Data!C3/Data!C11</f>
        <v/>
      </c>
      <c r="D5">
        <f>Data!D3/Data!D11</f>
        <v/>
      </c>
      <c r="E5">
        <f>Data!E3/Data!E11</f>
        <v/>
      </c>
    </row>
    <row r="6">
      <c r="A6" t="inlineStr">
        <is>
          <t>Places per child 0-4</t>
        </is>
      </c>
      <c r="B6" t="inlineStr">
        <is>
          <t>Supply coverage if places data available</t>
        </is>
      </c>
      <c r="C6">
        <f>IFERROR(Data!C12/Data!C3,"n/a")</f>
        <v/>
      </c>
      <c r="D6">
        <f>IFERROR(Data!D12/Data!D3,"n/a")</f>
        <v/>
      </c>
      <c r="E6">
        <f>IFERROR(Data!E12/Data!E3,"n/a")</f>
        <v/>
      </c>
    </row>
    <row r="7">
      <c r="A7" t="inlineStr">
        <is>
          <t>Income / affordability index (HH income, Ku-ring-gai=100)</t>
        </is>
      </c>
      <c r="B7" t="inlineStr">
        <is>
          <t>Ability to pay; indicator only, not demand</t>
        </is>
      </c>
      <c r="C7">
        <f>Data!C6/Data!$C$6*100</f>
        <v/>
      </c>
      <c r="D7">
        <f>Data!D6/Data!$C$6*100</f>
        <v/>
      </c>
      <c r="E7">
        <f>Data!E6/Data!$C$6*100</f>
        <v/>
      </c>
    </row>
    <row r="8">
      <c r="A8" t="inlineStr">
        <is>
          <t>Land value index (Ku-ring-gai=100)</t>
        </is>
      </c>
      <c r="B8" t="inlineStr">
        <is>
          <t>Relative site cost proxy</t>
        </is>
      </c>
      <c r="C8">
        <f>IFERROR(Data!C14/Data!$C$14*100,"")</f>
        <v/>
      </c>
      <c r="D8">
        <f>IFERROR(Data!D14/Data!$C$14*100,"")</f>
        <v/>
      </c>
      <c r="E8">
        <f>IFERROR(Data!E14/Data!$C$14*100,"")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" t="inlineStr">
        <is>
          <t>Annual staffing cost</t>
        </is>
      </c>
      <c r="B1" s="2" t="inlineStr">
        <is>
          <t>Formula</t>
        </is>
      </c>
      <c r="C1" s="2" t="inlineStr">
        <is>
          <t>Ku-ring-gai</t>
        </is>
      </c>
      <c r="D1" s="2" t="inlineStr">
        <is>
          <t>Bayside</t>
        </is>
      </c>
      <c r="E1" s="2" t="inlineStr">
        <is>
          <t>North Sydney</t>
        </is>
      </c>
    </row>
    <row r="2">
      <c r="A2" t="inlineStr">
        <is>
          <t>Base staffing cost ($/yr)</t>
        </is>
      </c>
      <c r="B2" t="inlineStr">
        <is>
          <t>SUMPRODUCT(headcount x salary x (1+on-cost))</t>
        </is>
      </c>
      <c r="C2">
        <f>SUMPRODUCT(Data!$B$23:$B$27,Data!$C$23:$C$27*(1+Data!$D$23:$D$27))</f>
        <v/>
      </c>
      <c r="D2">
        <f>SUMPRODUCT(Data!$B$23:$B$27,Data!$C$23:$C$27*(1+Data!$D$23:$D$27))</f>
        <v/>
      </c>
      <c r="E2">
        <f>SUMPRODUCT(Data!$B$23:$B$27,Data!$C$23:$C$27*(1+Data!$D$23:$D$27))</f>
        <v/>
      </c>
    </row>
    <row r="3">
      <c r="A3" t="inlineStr">
        <is>
          <t>Location wage adjustment</t>
        </is>
      </c>
      <c r="B3" t="inlineStr">
        <is>
          <t>from Data row 19</t>
        </is>
      </c>
      <c r="C3">
        <f>Data!C19</f>
        <v/>
      </c>
      <c r="D3">
        <f>Data!D19</f>
        <v/>
      </c>
      <c r="E3">
        <f>Data!E19</f>
        <v/>
      </c>
    </row>
    <row r="4">
      <c r="A4" t="inlineStr">
        <is>
          <t>Adjusted staffing cost ($/yr)</t>
        </is>
      </c>
      <c r="B4" t="inlineStr">
        <is>
          <t>base x (1+adj)</t>
        </is>
      </c>
      <c r="C4">
        <f>C2*(1+C3)</f>
        <v/>
      </c>
      <c r="D4">
        <f>D2*(1+D3)</f>
        <v/>
      </c>
      <c r="E4">
        <f>E2*(1+E3)</f>
        <v/>
      </c>
    </row>
    <row r="5">
      <c r="A5" t="inlineStr">
        <is>
          <t>Site area required (m2)</t>
        </is>
      </c>
      <c r="B5" t="inlineStr">
        <is>
          <t>Rooms 300+kitchen 50+office 40+storage 30+playgrounds 600+car park 400 = 1,420; min site 1,500</t>
        </is>
      </c>
      <c r="C5" t="n">
        <v>1500</v>
      </c>
      <c r="D5" t="n">
        <v>1500</v>
      </c>
      <c r="E5" t="n">
        <v>1500</v>
      </c>
    </row>
    <row r="6">
      <c r="A6" t="inlineStr">
        <is>
          <t>Site cost proxy ($)</t>
        </is>
      </c>
      <c r="B6" t="inlineStr">
        <is>
          <t>land $/m2 x 1,500</t>
        </is>
      </c>
      <c r="C6">
        <f>Data!C14*C5</f>
        <v/>
      </c>
      <c r="D6">
        <f>Data!D14*D5</f>
        <v/>
      </c>
      <c r="E6">
        <f>Data!E14*E5</f>
        <v/>
      </c>
    </row>
    <row r="7">
      <c r="A7" t="inlineStr">
        <is>
          <t>Annual cost per child 0-4 in LGA ($)</t>
        </is>
      </c>
      <c r="B7" t="inlineStr">
        <is>
          <t>adjusted staffing / children 0-4 (scale indicator)</t>
        </is>
      </c>
      <c r="C7">
        <f>C4/Data!C3</f>
        <v/>
      </c>
      <c r="D7">
        <f>D4/Data!D3</f>
        <v/>
      </c>
      <c r="E7">
        <f>E4/Data!E3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3" max="3"/>
  </cols>
  <sheetData>
    <row r="1">
      <c r="A1" s="2" t="inlineStr">
        <is>
          <t>Criterion</t>
        </is>
      </c>
      <c r="B1" s="2" t="inlineStr">
        <is>
          <t>Weight (assumption)</t>
        </is>
      </c>
      <c r="C1" s="2" t="inlineStr">
        <is>
          <t>Direction (+1 higher better, -1 lower better)</t>
        </is>
      </c>
      <c r="D1" s="2" t="inlineStr">
        <is>
          <t>Ku-ring-gai</t>
        </is>
      </c>
      <c r="E1" s="2" t="inlineStr">
        <is>
          <t>Bayside</t>
        </is>
      </c>
      <c r="F1" s="2" t="inlineStr">
        <is>
          <t>North Sydney</t>
        </is>
      </c>
    </row>
    <row r="2">
      <c r="A2" t="inlineStr">
        <is>
          <t>Children 0-4 per km2 (density)</t>
        </is>
      </c>
      <c r="B2" t="n">
        <v>0.2</v>
      </c>
      <c r="C2" t="n">
        <v>1</v>
      </c>
      <c r="D2">
        <f>IFERROR(IF($C2=1,(Indicators!C3-MIN(Indicators!C3:E3))/(MAX(Indicators!C3:E3)-MIN(Indicators!C3:E3)),(MAX(Indicators!C3:E3)-Indicators!C3)/(MAX(Indicators!C3:E3)-MIN(Indicators!C3:E3))),"")</f>
        <v/>
      </c>
      <c r="E2">
        <f>IFERROR(IF($C2=1,(Indicators!D3-MIN(Indicators!C3:E3))/(MAX(Indicators!C3:E3)-MIN(Indicators!C3:E3)),(MAX(Indicators!C3:E3)-Indicators!D3)/(MAX(Indicators!C3:E3)-MIN(Indicators!C3:E3))),"")</f>
        <v/>
      </c>
      <c r="F2">
        <f>IFERROR(IF($C2=1,(Indicators!E3-MIN(Indicators!C3:E3))/(MAX(Indicators!C3:E3)-MIN(Indicators!C3:E3)),(MAX(Indicators!C3:E3)-Indicators!E3)/(MAX(Indicators!C3:E3)-MIN(Indicators!C3:E3))),"")</f>
        <v/>
      </c>
    </row>
    <row r="3">
      <c r="A3" t="inlineStr">
        <is>
          <t>Children per centre (low competition)</t>
        </is>
      </c>
      <c r="B3" t="n">
        <v>0.2</v>
      </c>
      <c r="C3" t="n">
        <v>1</v>
      </c>
      <c r="D3">
        <f>IFERROR(IF($C3=1,(Indicators!C5-MIN(Indicators!C5:E5))/(MAX(Indicators!C5:E5)-MIN(Indicators!C5:E5)),(MAX(Indicators!C5:E5)-Indicators!C5)/(MAX(Indicators!C5:E5)-MIN(Indicators!C5:E5))),"")</f>
        <v/>
      </c>
      <c r="E3">
        <f>IFERROR(IF($C3=1,(Indicators!D5-MIN(Indicators!C5:E5))/(MAX(Indicators!C5:E5)-MIN(Indicators!C5:E5)),(MAX(Indicators!C5:E5)-Indicators!D5)/(MAX(Indicators!C5:E5)-MIN(Indicators!C5:E5))),"")</f>
        <v/>
      </c>
      <c r="F3">
        <f>IFERROR(IF($C3=1,(Indicators!E5-MIN(Indicators!C5:E5))/(MAX(Indicators!C5:E5)-MIN(Indicators!C5:E5)),(MAX(Indicators!C5:E5)-Indicators!E5)/(MAX(Indicators!C5:E5)-MIN(Indicators!C5:E5))),"")</f>
        <v/>
      </c>
    </row>
    <row r="4">
      <c r="A4" t="inlineStr">
        <is>
          <t>Household income</t>
        </is>
      </c>
      <c r="B4" t="n">
        <v>0.15</v>
      </c>
      <c r="C4" t="n">
        <v>1</v>
      </c>
      <c r="D4">
        <f>IFERROR(IF($C4=1,(Data!C6-MIN(Data!C6:E6))/(MAX(Data!C6:E6)-MIN(Data!C6:E6)),(MAX(Data!C6:E6)-Data!C6)/(MAX(Data!C6:E6)-MIN(Data!C6:E6))),"")</f>
        <v/>
      </c>
      <c r="E4">
        <f>IFERROR(IF($C4=1,(Data!D6-MIN(Data!C6:E6))/(MAX(Data!C6:E6)-MIN(Data!C6:E6)),(MAX(Data!C6:E6)-Data!D6)/(MAX(Data!C6:E6)-MIN(Data!C6:E6))),"")</f>
        <v/>
      </c>
      <c r="F4">
        <f>IFERROR(IF($C4=1,(Data!E6-MIN(Data!C6:E6))/(MAX(Data!C6:E6)-MIN(Data!C6:E6)),(MAX(Data!C6:E6)-Data!E6)/(MAX(Data!C6:E6)-MIN(Data!C6:E6))),"")</f>
        <v/>
      </c>
    </row>
    <row r="5">
      <c r="A5" t="inlineStr">
        <is>
          <t>Land value proxy</t>
        </is>
      </c>
      <c r="B5" t="n">
        <v>0.2</v>
      </c>
      <c r="C5" t="n">
        <v>-1</v>
      </c>
      <c r="D5">
        <f>IFERROR(IF($C5=1,(Data!C14-MIN(Data!C14:E14))/(MAX(Data!C14:E14)-MIN(Data!C14:E14)),(MAX(Data!C14:E14)-Data!C14)/(MAX(Data!C14:E14)-MIN(Data!C14:E14))),"")</f>
        <v/>
      </c>
      <c r="E5">
        <f>IFERROR(IF($C5=1,(Data!D14-MIN(Data!C14:E14))/(MAX(Data!C14:E14)-MIN(Data!C14:E14)),(MAX(Data!C14:E14)-Data!D14)/(MAX(Data!C14:E14)-MIN(Data!C14:E14))),"")</f>
        <v/>
      </c>
      <c r="F5">
        <f>IFERROR(IF($C5=1,(Data!E14-MIN(Data!C14:E14))/(MAX(Data!C14:E14)-MIN(Data!C14:E14)),(MAX(Data!C14:E14)-Data!E14)/(MAX(Data!C14:E14)-MIN(Data!C14:E14))),"")</f>
        <v/>
      </c>
    </row>
    <row r="6">
      <c r="A6" t="inlineStr">
        <is>
          <t>Peak-hour accessibility (minutes)</t>
        </is>
      </c>
      <c r="B6" t="n">
        <v>0.15</v>
      </c>
      <c r="C6" t="n">
        <v>-1</v>
      </c>
      <c r="D6">
        <f>IFERROR(IF($C6=1,(Data!C16-MIN(Data!C16:E16))/(MAX(Data!C16:E16)-MIN(Data!C16:E16)),(MAX(Data!C16:E16)-Data!C16)/(MAX(Data!C16:E16)-MIN(Data!C16:E16))),"")</f>
        <v/>
      </c>
      <c r="E6">
        <f>IFERROR(IF($C6=1,(Data!D16-MIN(Data!C16:E16))/(MAX(Data!C16:E16)-MIN(Data!C16:E16)),(MAX(Data!C16:E16)-Data!D16)/(MAX(Data!C16:E16)-MIN(Data!C16:E16))),"")</f>
        <v/>
      </c>
      <c r="F6">
        <f>IFERROR(IF($C6=1,(Data!E16-MIN(Data!C16:E16))/(MAX(Data!C16:E16)-MIN(Data!C16:E16)),(MAX(Data!C16:E16)-Data!E16)/(MAX(Data!C16:E16)-MIN(Data!C16:E16))),"")</f>
        <v/>
      </c>
    </row>
    <row r="7">
      <c r="A7" t="inlineStr">
        <is>
          <t>Children 0-4 (market size)</t>
        </is>
      </c>
      <c r="B7" t="n">
        <v>0.1</v>
      </c>
      <c r="C7" t="n">
        <v>1</v>
      </c>
      <c r="D7">
        <f>IFERROR(IF($C7=1,(Data!C3-MIN(Data!C3:E3))/(MAX(Data!C3:E3)-MIN(Data!C3:E3)),(MAX(Data!C3:E3)-Data!C3)/(MAX(Data!C3:E3)-MIN(Data!C3:E3))),"")</f>
        <v/>
      </c>
      <c r="E7">
        <f>IFERROR(IF($C7=1,(Data!D3-MIN(Data!C3:E3))/(MAX(Data!C3:E3)-MIN(Data!C3:E3)),(MAX(Data!C3:E3)-Data!D3)/(MAX(Data!C3:E3)-MIN(Data!C3:E3))),"")</f>
        <v/>
      </c>
      <c r="F7">
        <f>IFERROR(IF($C7=1,(Data!E3-MIN(Data!C3:E3))/(MAX(Data!C3:E3)-MIN(Data!C3:E3)),(MAX(Data!C3:E3)-Data!E3)/(MAX(Data!C3:E3)-MIN(Data!C3:E3))),"")</f>
        <v/>
      </c>
    </row>
    <row r="8">
      <c r="A8" t="inlineStr">
        <is>
          <t>Weighted score (0-1)</t>
        </is>
      </c>
      <c r="B8">
        <f>SUM(B2:B7)</f>
        <v/>
      </c>
      <c r="D8">
        <f>SUMPRODUCT($B$2:$B$7,D2:D7)</f>
        <v/>
      </c>
      <c r="E8">
        <f>SUMPRODUCT($B$2:$B$7,E2:E7)</f>
        <v/>
      </c>
      <c r="F8">
        <f>SUMPRODUCT($B$2:$B$7,F2:F7)</f>
        <v/>
      </c>
    </row>
    <row r="9">
      <c r="A9" t="inlineStr">
        <is>
          <t>Rank</t>
        </is>
      </c>
      <c r="D9">
        <f>RANK(D8,$D$8:$F$8)</f>
        <v/>
      </c>
      <c r="E9">
        <f>RANK(E8,$D$8:$F$8)</f>
        <v/>
      </c>
      <c r="F9">
        <f>RANK(F8,$D$8:$F$8)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Indicator</t>
        </is>
      </c>
      <c r="B1" s="2" t="inlineStr">
        <is>
          <t>Unit</t>
        </is>
      </c>
      <c r="C1" s="2" t="inlineStr">
        <is>
          <t>Ku-ring-gai</t>
        </is>
      </c>
      <c r="D1" s="2" t="inlineStr">
        <is>
          <t>Bayside</t>
        </is>
      </c>
      <c r="E1" s="2" t="inlineStr">
        <is>
          <t>North Sydney</t>
        </is>
      </c>
    </row>
    <row r="2">
      <c r="A2" t="inlineStr">
        <is>
          <t>Population</t>
        </is>
      </c>
      <c r="B2" t="inlineStr">
        <is>
          <t>persons</t>
        </is>
      </c>
      <c r="C2">
        <f>Data!C2</f>
        <v/>
      </c>
      <c r="D2">
        <f>Data!D2</f>
        <v/>
      </c>
      <c r="E2">
        <f>Data!E2</f>
        <v/>
      </c>
    </row>
    <row r="3">
      <c r="A3" t="inlineStr">
        <is>
          <t>Children 0-4</t>
        </is>
      </c>
      <c r="B3" t="inlineStr">
        <is>
          <t>persons</t>
        </is>
      </c>
      <c r="C3">
        <f>Data!C3</f>
        <v/>
      </c>
      <c r="D3">
        <f>Data!D3</f>
        <v/>
      </c>
      <c r="E3">
        <f>Data!E3</f>
        <v/>
      </c>
    </row>
    <row r="4">
      <c r="A4" t="inlineStr">
        <is>
          <t>Median HH income</t>
        </is>
      </c>
      <c r="B4" t="inlineStr">
        <is>
          <t>$/wk</t>
        </is>
      </c>
      <c r="C4">
        <f>Data!C6</f>
        <v/>
      </c>
      <c r="D4">
        <f>Data!D6</f>
        <v/>
      </c>
      <c r="E4">
        <f>Data!E6</f>
        <v/>
      </c>
    </row>
    <row r="5">
      <c r="A5" t="inlineStr">
        <is>
          <t>Centres per 1,000 children</t>
        </is>
      </c>
      <c r="B5" t="inlineStr">
        <is>
          <t>ratio</t>
        </is>
      </c>
      <c r="C5">
        <f>Indicators!C4</f>
        <v/>
      </c>
      <c r="D5">
        <f>Indicators!D4</f>
        <v/>
      </c>
      <c r="E5">
        <f>Indicators!E4</f>
        <v/>
      </c>
    </row>
    <row r="6">
      <c r="A6" t="inlineStr">
        <is>
          <t>Children per km2</t>
        </is>
      </c>
      <c r="B6" t="inlineStr">
        <is>
          <t>ratio</t>
        </is>
      </c>
      <c r="C6">
        <f>Indicators!C3</f>
        <v/>
      </c>
      <c r="D6">
        <f>Indicators!D3</f>
        <v/>
      </c>
      <c r="E6">
        <f>Indicators!E3</f>
        <v/>
      </c>
    </row>
    <row r="7">
      <c r="A7" t="inlineStr">
        <is>
          <t>Land value ($/m2)</t>
        </is>
      </c>
      <c r="B7" t="inlineStr">
        <is>
          <t>$/m2</t>
        </is>
      </c>
      <c r="C7">
        <f>Data!C14</f>
        <v/>
      </c>
      <c r="D7">
        <f>Data!D14</f>
        <v/>
      </c>
      <c r="E7">
        <f>Data!E14</f>
        <v/>
      </c>
    </row>
    <row r="8">
      <c r="A8" t="inlineStr">
        <is>
          <t>Adj. staffing cost</t>
        </is>
      </c>
      <c r="B8" t="inlineStr">
        <is>
          <t>$/yr</t>
        </is>
      </c>
      <c r="C8">
        <f>Costs!C4</f>
        <v/>
      </c>
      <c r="D8">
        <f>Costs!D4</f>
        <v/>
      </c>
      <c r="E8">
        <f>Costs!E4</f>
        <v/>
      </c>
    </row>
    <row r="9">
      <c r="A9" t="inlineStr">
        <is>
          <t>Weighted score</t>
        </is>
      </c>
      <c r="B9" t="inlineStr">
        <is>
          <t>0-1</t>
        </is>
      </c>
      <c r="C9">
        <f>Scoring!D8</f>
        <v/>
      </c>
      <c r="D9">
        <f>Scoring!E8</f>
        <v/>
      </c>
      <c r="E9">
        <f>Scoring!F8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2026-10-29T06:31:52Z</dcterms:created>
  <dcterms:modified xmlns:dcterms="http://purl.org/dc/terms/" xmlns:xsi="http://www.w3.org/2001/XMLSchema-instance" xsi:type="dcterms:W3CDTF">2026-10-29T06:31:52Z</dcterms:modified>
</cp:coreProperties>
</file>